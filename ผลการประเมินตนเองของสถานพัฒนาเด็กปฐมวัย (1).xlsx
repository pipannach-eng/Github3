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สนป\การอบรม (กพ)\"/>
    </mc:Choice>
  </mc:AlternateContent>
  <xr:revisionPtr revIDLastSave="0" documentId="13_ncr:1_{3E92279E-9725-4D55-8C24-7142BCFEC4DC}" xr6:coauthVersionLast="47" xr6:coauthVersionMax="47" xr10:uidLastSave="{00000000-0000-0000-0000-000000000000}"/>
  <bookViews>
    <workbookView xWindow="-110" yWindow="-110" windowWidth="19420" windowHeight="10300" activeTab="6" xr2:uid="{96BF1E49-1CEB-4DDC-B909-371E4B100059}"/>
  </bookViews>
  <sheets>
    <sheet name="2562" sheetId="1" r:id="rId1"/>
    <sheet name="2563" sheetId="2" r:id="rId2"/>
    <sheet name="2564" sheetId="4" r:id="rId3"/>
    <sheet name="2565" sheetId="9" r:id="rId4"/>
    <sheet name="2566" sheetId="10" r:id="rId5"/>
    <sheet name="2567" sheetId="11" r:id="rId6"/>
    <sheet name="2568" sheetId="12" r:id="rId7"/>
  </sheets>
  <definedNames>
    <definedName name="_xlnm.Print_Area" localSheetId="1">'2563'!$1:$1</definedName>
    <definedName name="_xlnm.Print_Area" localSheetId="2">'2564'!$1:$1</definedName>
    <definedName name="_xlnm.Print_Area" localSheetId="3">'2565'!$1:$1</definedName>
    <definedName name="_xlnm.Print_Area" localSheetId="4">'2566'!$1:$1</definedName>
    <definedName name="_xlnm.Print_Area" localSheetId="5">'2567'!$1:$1</definedName>
    <definedName name="_xlnm.Print_Area" localSheetId="6">'2568'!$1:$1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F7" i="11" l="1"/>
  <c r="AI19" i="12"/>
  <c r="AH19" i="12"/>
  <c r="AG19" i="12"/>
  <c r="AE19" i="12"/>
  <c r="AD19" i="12"/>
  <c r="AC19" i="12"/>
  <c r="AA19" i="12"/>
  <c r="Z19" i="12"/>
  <c r="Y19" i="12"/>
  <c r="X19" i="12"/>
  <c r="V19" i="12"/>
  <c r="U19" i="12"/>
  <c r="T19" i="12"/>
  <c r="S19" i="12"/>
  <c r="Q19" i="12"/>
  <c r="P19" i="12"/>
  <c r="O19" i="12"/>
  <c r="N19" i="12"/>
  <c r="M19" i="12"/>
  <c r="L19" i="12"/>
  <c r="K19" i="12"/>
  <c r="J19" i="12"/>
  <c r="H19" i="12"/>
  <c r="G19" i="12"/>
  <c r="E19" i="12"/>
  <c r="D19" i="12"/>
  <c r="B19" i="12"/>
  <c r="AJ18" i="12"/>
  <c r="AF18" i="12"/>
  <c r="AB18" i="12"/>
  <c r="W18" i="12"/>
  <c r="R18" i="12"/>
  <c r="I18" i="12"/>
  <c r="F18" i="12"/>
  <c r="C18" i="12"/>
  <c r="AJ17" i="12"/>
  <c r="AF17" i="12"/>
  <c r="AB17" i="12"/>
  <c r="W17" i="12"/>
  <c r="R17" i="12"/>
  <c r="I17" i="12"/>
  <c r="F17" i="12"/>
  <c r="C17" i="12"/>
  <c r="AJ16" i="12"/>
  <c r="AF16" i="12"/>
  <c r="AB16" i="12"/>
  <c r="W16" i="12"/>
  <c r="R16" i="12"/>
  <c r="I16" i="12"/>
  <c r="F16" i="12"/>
  <c r="C16" i="12"/>
  <c r="AJ15" i="12"/>
  <c r="AF15" i="12"/>
  <c r="AB15" i="12"/>
  <c r="W15" i="12"/>
  <c r="R15" i="12"/>
  <c r="I15" i="12"/>
  <c r="F15" i="12"/>
  <c r="C15" i="12"/>
  <c r="AJ14" i="12"/>
  <c r="AF14" i="12"/>
  <c r="AF19" i="12" s="1"/>
  <c r="AB14" i="12"/>
  <c r="W14" i="12"/>
  <c r="R14" i="12"/>
  <c r="I14" i="12"/>
  <c r="F14" i="12"/>
  <c r="C14" i="12"/>
  <c r="AI11" i="12"/>
  <c r="AH11" i="12"/>
  <c r="AG11" i="12"/>
  <c r="AE11" i="12"/>
  <c r="AD11" i="12"/>
  <c r="AC11" i="12"/>
  <c r="AA11" i="12"/>
  <c r="Z11" i="12"/>
  <c r="Y11" i="12"/>
  <c r="X11" i="12"/>
  <c r="V11" i="12"/>
  <c r="U11" i="12"/>
  <c r="T11" i="12"/>
  <c r="S11" i="12"/>
  <c r="Q11" i="12"/>
  <c r="P11" i="12"/>
  <c r="O11" i="12"/>
  <c r="N11" i="12"/>
  <c r="M11" i="12"/>
  <c r="L11" i="12"/>
  <c r="K11" i="12"/>
  <c r="J11" i="12"/>
  <c r="H11" i="12"/>
  <c r="G11" i="12"/>
  <c r="E11" i="12"/>
  <c r="D11" i="12"/>
  <c r="B11" i="12"/>
  <c r="AJ10" i="12"/>
  <c r="AF10" i="12"/>
  <c r="AB10" i="12"/>
  <c r="W10" i="12"/>
  <c r="R10" i="12"/>
  <c r="I10" i="12"/>
  <c r="F10" i="12"/>
  <c r="C10" i="12"/>
  <c r="AJ9" i="12"/>
  <c r="AF9" i="12"/>
  <c r="AB9" i="12"/>
  <c r="W9" i="12"/>
  <c r="R9" i="12"/>
  <c r="I9" i="12"/>
  <c r="F9" i="12"/>
  <c r="C9" i="12"/>
  <c r="AJ8" i="12"/>
  <c r="AF8" i="12"/>
  <c r="AB8" i="12"/>
  <c r="W8" i="12"/>
  <c r="R8" i="12"/>
  <c r="I8" i="12"/>
  <c r="F8" i="12"/>
  <c r="C8" i="12"/>
  <c r="AJ7" i="12"/>
  <c r="AF7" i="12"/>
  <c r="AB7" i="12"/>
  <c r="W7" i="12"/>
  <c r="R7" i="12"/>
  <c r="I7" i="12"/>
  <c r="F7" i="12"/>
  <c r="C7" i="12"/>
  <c r="AJ6" i="12"/>
  <c r="AF6" i="12"/>
  <c r="AB6" i="12"/>
  <c r="W6" i="12"/>
  <c r="R6" i="12"/>
  <c r="I6" i="12"/>
  <c r="F6" i="12"/>
  <c r="C6" i="12"/>
  <c r="AJ5" i="12"/>
  <c r="AF5" i="12"/>
  <c r="AB5" i="12"/>
  <c r="W5" i="12"/>
  <c r="R5" i="12"/>
  <c r="I5" i="12"/>
  <c r="F5" i="12"/>
  <c r="C5" i="12"/>
  <c r="AJ4" i="12"/>
  <c r="AF4" i="12"/>
  <c r="AB4" i="12"/>
  <c r="W4" i="12"/>
  <c r="R4" i="12"/>
  <c r="I4" i="12"/>
  <c r="F4" i="12"/>
  <c r="C4" i="12"/>
  <c r="AJ3" i="12"/>
  <c r="AF3" i="12"/>
  <c r="AB3" i="12"/>
  <c r="W3" i="12"/>
  <c r="R3" i="12"/>
  <c r="I3" i="12"/>
  <c r="F3" i="12"/>
  <c r="C3" i="12"/>
  <c r="AJ2" i="12"/>
  <c r="AF2" i="12"/>
  <c r="AB2" i="12"/>
  <c r="W2" i="12"/>
  <c r="R2" i="12"/>
  <c r="I2" i="12"/>
  <c r="F2" i="12"/>
  <c r="C2" i="12"/>
  <c r="AI19" i="11"/>
  <c r="AH19" i="11"/>
  <c r="AG19" i="11"/>
  <c r="AE19" i="11"/>
  <c r="AD19" i="11"/>
  <c r="AC19" i="11"/>
  <c r="AA19" i="11"/>
  <c r="Z19" i="11"/>
  <c r="Y19" i="11"/>
  <c r="X19" i="11"/>
  <c r="V19" i="11"/>
  <c r="U19" i="11"/>
  <c r="T19" i="11"/>
  <c r="S19" i="11"/>
  <c r="Q19" i="11"/>
  <c r="P19" i="11"/>
  <c r="O19" i="11"/>
  <c r="N19" i="11"/>
  <c r="M19" i="11"/>
  <c r="L19" i="11"/>
  <c r="K19" i="11"/>
  <c r="J19" i="11"/>
  <c r="H19" i="11"/>
  <c r="G19" i="11"/>
  <c r="E19" i="11"/>
  <c r="D19" i="11"/>
  <c r="B19" i="11"/>
  <c r="AJ18" i="11"/>
  <c r="AF18" i="11"/>
  <c r="AB18" i="11"/>
  <c r="W18" i="11"/>
  <c r="R18" i="11"/>
  <c r="I18" i="11"/>
  <c r="F18" i="11"/>
  <c r="C18" i="11"/>
  <c r="AJ17" i="11"/>
  <c r="AF17" i="11"/>
  <c r="AB17" i="11"/>
  <c r="W17" i="11"/>
  <c r="R17" i="11"/>
  <c r="I17" i="11"/>
  <c r="F17" i="11"/>
  <c r="C17" i="11"/>
  <c r="AJ16" i="11"/>
  <c r="AF16" i="11"/>
  <c r="AB16" i="11"/>
  <c r="W16" i="11"/>
  <c r="R16" i="11"/>
  <c r="I16" i="11"/>
  <c r="F16" i="11"/>
  <c r="C16" i="11"/>
  <c r="AJ15" i="11"/>
  <c r="AF15" i="11"/>
  <c r="AB15" i="11"/>
  <c r="W15" i="11"/>
  <c r="R15" i="11"/>
  <c r="I15" i="11"/>
  <c r="F15" i="11"/>
  <c r="C15" i="11"/>
  <c r="AJ14" i="11"/>
  <c r="AF14" i="11"/>
  <c r="AB14" i="11"/>
  <c r="W14" i="11"/>
  <c r="R14" i="11"/>
  <c r="I14" i="11"/>
  <c r="F14" i="11"/>
  <c r="C14" i="11"/>
  <c r="AI11" i="11"/>
  <c r="AH11" i="11"/>
  <c r="AG11" i="11"/>
  <c r="AE11" i="11"/>
  <c r="AD11" i="11"/>
  <c r="AC11" i="11"/>
  <c r="AA11" i="11"/>
  <c r="Z11" i="11"/>
  <c r="Y11" i="11"/>
  <c r="X11" i="11"/>
  <c r="V11" i="11"/>
  <c r="U11" i="11"/>
  <c r="T11" i="11"/>
  <c r="S11" i="11"/>
  <c r="Q11" i="11"/>
  <c r="P11" i="11"/>
  <c r="O11" i="11"/>
  <c r="N11" i="11"/>
  <c r="M11" i="11"/>
  <c r="L11" i="11"/>
  <c r="K11" i="11"/>
  <c r="J11" i="11"/>
  <c r="H11" i="11"/>
  <c r="G11" i="11"/>
  <c r="E11" i="11"/>
  <c r="D11" i="11"/>
  <c r="B11" i="11"/>
  <c r="AJ10" i="11"/>
  <c r="AF10" i="11"/>
  <c r="AB10" i="11"/>
  <c r="W10" i="11"/>
  <c r="R10" i="11"/>
  <c r="I10" i="11"/>
  <c r="F10" i="11"/>
  <c r="C10" i="11"/>
  <c r="AJ9" i="11"/>
  <c r="AF9" i="11"/>
  <c r="AB9" i="11"/>
  <c r="W9" i="11"/>
  <c r="R9" i="11"/>
  <c r="I9" i="11"/>
  <c r="F9" i="11"/>
  <c r="C9" i="11"/>
  <c r="AJ8" i="11"/>
  <c r="AF8" i="11"/>
  <c r="AB8" i="11"/>
  <c r="W8" i="11"/>
  <c r="R8" i="11"/>
  <c r="I8" i="11"/>
  <c r="F8" i="11"/>
  <c r="C8" i="11"/>
  <c r="AJ7" i="11"/>
  <c r="AB7" i="11"/>
  <c r="W7" i="11"/>
  <c r="R7" i="11"/>
  <c r="I7" i="11"/>
  <c r="F7" i="11"/>
  <c r="C7" i="11"/>
  <c r="AJ6" i="11"/>
  <c r="AF6" i="11"/>
  <c r="AB6" i="11"/>
  <c r="W6" i="11"/>
  <c r="R6" i="11"/>
  <c r="I6" i="11"/>
  <c r="F6" i="11"/>
  <c r="C6" i="11"/>
  <c r="AJ5" i="11"/>
  <c r="AF5" i="11"/>
  <c r="AB5" i="11"/>
  <c r="W5" i="11"/>
  <c r="R5" i="11"/>
  <c r="I5" i="11"/>
  <c r="F5" i="11"/>
  <c r="C5" i="11"/>
  <c r="AJ4" i="11"/>
  <c r="AF4" i="11"/>
  <c r="AB4" i="11"/>
  <c r="W4" i="11"/>
  <c r="R4" i="11"/>
  <c r="I4" i="11"/>
  <c r="F4" i="11"/>
  <c r="C4" i="11"/>
  <c r="AJ3" i="11"/>
  <c r="AF3" i="11"/>
  <c r="AB3" i="11"/>
  <c r="W3" i="11"/>
  <c r="R3" i="11"/>
  <c r="I3" i="11"/>
  <c r="F3" i="11"/>
  <c r="C3" i="11"/>
  <c r="AJ2" i="11"/>
  <c r="AF2" i="11"/>
  <c r="AB2" i="11"/>
  <c r="W2" i="11"/>
  <c r="R2" i="11"/>
  <c r="I2" i="11"/>
  <c r="F2" i="11"/>
  <c r="C2" i="11"/>
  <c r="AI19" i="10"/>
  <c r="AH19" i="10"/>
  <c r="AG19" i="10"/>
  <c r="AE19" i="10"/>
  <c r="AD19" i="10"/>
  <c r="AC19" i="10"/>
  <c r="AA19" i="10"/>
  <c r="Z19" i="10"/>
  <c r="Y19" i="10"/>
  <c r="X19" i="10"/>
  <c r="V19" i="10"/>
  <c r="U19" i="10"/>
  <c r="T19" i="10"/>
  <c r="S19" i="10"/>
  <c r="Q19" i="10"/>
  <c r="P19" i="10"/>
  <c r="O19" i="10"/>
  <c r="N19" i="10"/>
  <c r="M19" i="10"/>
  <c r="L19" i="10"/>
  <c r="K19" i="10"/>
  <c r="J19" i="10"/>
  <c r="H19" i="10"/>
  <c r="G19" i="10"/>
  <c r="E19" i="10"/>
  <c r="D19" i="10"/>
  <c r="B19" i="10"/>
  <c r="AJ18" i="10"/>
  <c r="AF18" i="10"/>
  <c r="AB18" i="10"/>
  <c r="W18" i="10"/>
  <c r="R18" i="10"/>
  <c r="I18" i="10"/>
  <c r="F18" i="10"/>
  <c r="C18" i="10"/>
  <c r="AJ17" i="10"/>
  <c r="AF17" i="10"/>
  <c r="AB17" i="10"/>
  <c r="W17" i="10"/>
  <c r="R17" i="10"/>
  <c r="I17" i="10"/>
  <c r="F17" i="10"/>
  <c r="C17" i="10"/>
  <c r="AJ16" i="10"/>
  <c r="AF16" i="10"/>
  <c r="AB16" i="10"/>
  <c r="W16" i="10"/>
  <c r="R16" i="10"/>
  <c r="I16" i="10"/>
  <c r="F16" i="10"/>
  <c r="C16" i="10"/>
  <c r="AJ15" i="10"/>
  <c r="AF15" i="10"/>
  <c r="AB15" i="10"/>
  <c r="W15" i="10"/>
  <c r="R15" i="10"/>
  <c r="I15" i="10"/>
  <c r="F15" i="10"/>
  <c r="C15" i="10"/>
  <c r="AJ14" i="10"/>
  <c r="AF14" i="10"/>
  <c r="AB14" i="10"/>
  <c r="W14" i="10"/>
  <c r="R14" i="10"/>
  <c r="I14" i="10"/>
  <c r="F14" i="10"/>
  <c r="C14" i="10"/>
  <c r="AI11" i="10"/>
  <c r="AH11" i="10"/>
  <c r="AG11" i="10"/>
  <c r="AE11" i="10"/>
  <c r="AD11" i="10"/>
  <c r="AC11" i="10"/>
  <c r="AA11" i="10"/>
  <c r="Z11" i="10"/>
  <c r="Y11" i="10"/>
  <c r="X11" i="10"/>
  <c r="V11" i="10"/>
  <c r="U11" i="10"/>
  <c r="T11" i="10"/>
  <c r="S11" i="10"/>
  <c r="Q11" i="10"/>
  <c r="P11" i="10"/>
  <c r="O11" i="10"/>
  <c r="N11" i="10"/>
  <c r="M11" i="10"/>
  <c r="L11" i="10"/>
  <c r="K11" i="10"/>
  <c r="J11" i="10"/>
  <c r="H11" i="10"/>
  <c r="G11" i="10"/>
  <c r="E11" i="10"/>
  <c r="D11" i="10"/>
  <c r="B11" i="10"/>
  <c r="AJ10" i="10"/>
  <c r="AF10" i="10"/>
  <c r="AB10" i="10"/>
  <c r="W10" i="10"/>
  <c r="R10" i="10"/>
  <c r="I10" i="10"/>
  <c r="F10" i="10"/>
  <c r="C10" i="10"/>
  <c r="AJ9" i="10"/>
  <c r="AF9" i="10"/>
  <c r="AB9" i="10"/>
  <c r="W9" i="10"/>
  <c r="R9" i="10"/>
  <c r="I9" i="10"/>
  <c r="F9" i="10"/>
  <c r="C9" i="10"/>
  <c r="AJ8" i="10"/>
  <c r="AF8" i="10"/>
  <c r="AB8" i="10"/>
  <c r="W8" i="10"/>
  <c r="R8" i="10"/>
  <c r="I8" i="10"/>
  <c r="F8" i="10"/>
  <c r="C8" i="10"/>
  <c r="AJ7" i="10"/>
  <c r="AF7" i="10"/>
  <c r="AB7" i="10"/>
  <c r="W7" i="10"/>
  <c r="R7" i="10"/>
  <c r="I7" i="10"/>
  <c r="F7" i="10"/>
  <c r="C7" i="10"/>
  <c r="AJ6" i="10"/>
  <c r="AF6" i="10"/>
  <c r="AB6" i="10"/>
  <c r="W6" i="10"/>
  <c r="R6" i="10"/>
  <c r="I6" i="10"/>
  <c r="F6" i="10"/>
  <c r="C6" i="10"/>
  <c r="AJ5" i="10"/>
  <c r="AF5" i="10"/>
  <c r="AB5" i="10"/>
  <c r="W5" i="10"/>
  <c r="R5" i="10"/>
  <c r="I5" i="10"/>
  <c r="F5" i="10"/>
  <c r="C5" i="10"/>
  <c r="AJ4" i="10"/>
  <c r="AF4" i="10"/>
  <c r="AB4" i="10"/>
  <c r="W4" i="10"/>
  <c r="R4" i="10"/>
  <c r="I4" i="10"/>
  <c r="F4" i="10"/>
  <c r="C4" i="10"/>
  <c r="AJ3" i="10"/>
  <c r="AF3" i="10"/>
  <c r="AB3" i="10"/>
  <c r="W3" i="10"/>
  <c r="R3" i="10"/>
  <c r="I3" i="10"/>
  <c r="F3" i="10"/>
  <c r="C3" i="10"/>
  <c r="AJ2" i="10"/>
  <c r="AF2" i="10"/>
  <c r="AB2" i="10"/>
  <c r="W2" i="10"/>
  <c r="R2" i="10"/>
  <c r="I2" i="10"/>
  <c r="F2" i="10"/>
  <c r="C2" i="10"/>
  <c r="AI19" i="9"/>
  <c r="AH19" i="9"/>
  <c r="AG19" i="9"/>
  <c r="AE19" i="9"/>
  <c r="AD19" i="9"/>
  <c r="AC19" i="9"/>
  <c r="AA19" i="9"/>
  <c r="Z19" i="9"/>
  <c r="Y19" i="9"/>
  <c r="X19" i="9"/>
  <c r="V19" i="9"/>
  <c r="U19" i="9"/>
  <c r="T19" i="9"/>
  <c r="S19" i="9"/>
  <c r="Q19" i="9"/>
  <c r="P19" i="9"/>
  <c r="O19" i="9"/>
  <c r="N19" i="9"/>
  <c r="M19" i="9"/>
  <c r="L19" i="9"/>
  <c r="K19" i="9"/>
  <c r="J19" i="9"/>
  <c r="H19" i="9"/>
  <c r="G19" i="9"/>
  <c r="E19" i="9"/>
  <c r="D19" i="9"/>
  <c r="B19" i="9"/>
  <c r="AJ18" i="9"/>
  <c r="AF18" i="9"/>
  <c r="AB18" i="9"/>
  <c r="W18" i="9"/>
  <c r="R18" i="9"/>
  <c r="I18" i="9"/>
  <c r="F18" i="9"/>
  <c r="C18" i="9"/>
  <c r="AJ17" i="9"/>
  <c r="AF17" i="9"/>
  <c r="AB17" i="9"/>
  <c r="W17" i="9"/>
  <c r="R17" i="9"/>
  <c r="I17" i="9"/>
  <c r="F17" i="9"/>
  <c r="C17" i="9"/>
  <c r="AJ16" i="9"/>
  <c r="AF16" i="9"/>
  <c r="AB16" i="9"/>
  <c r="W16" i="9"/>
  <c r="R16" i="9"/>
  <c r="I16" i="9"/>
  <c r="F16" i="9"/>
  <c r="C16" i="9"/>
  <c r="AJ15" i="9"/>
  <c r="AF15" i="9"/>
  <c r="AB15" i="9"/>
  <c r="W15" i="9"/>
  <c r="R15" i="9"/>
  <c r="I15" i="9"/>
  <c r="F15" i="9"/>
  <c r="C15" i="9"/>
  <c r="AJ14" i="9"/>
  <c r="AF14" i="9"/>
  <c r="AB14" i="9"/>
  <c r="W14" i="9"/>
  <c r="R14" i="9"/>
  <c r="I14" i="9"/>
  <c r="F14" i="9"/>
  <c r="F19" i="9" s="1"/>
  <c r="C14" i="9"/>
  <c r="AI11" i="9"/>
  <c r="AH11" i="9"/>
  <c r="AG11" i="9"/>
  <c r="AE11" i="9"/>
  <c r="AD11" i="9"/>
  <c r="AC11" i="9"/>
  <c r="AA11" i="9"/>
  <c r="Z11" i="9"/>
  <c r="Y11" i="9"/>
  <c r="X11" i="9"/>
  <c r="V11" i="9"/>
  <c r="U11" i="9"/>
  <c r="T11" i="9"/>
  <c r="S11" i="9"/>
  <c r="Q11" i="9"/>
  <c r="P11" i="9"/>
  <c r="O11" i="9"/>
  <c r="N11" i="9"/>
  <c r="M11" i="9"/>
  <c r="L11" i="9"/>
  <c r="K11" i="9"/>
  <c r="J11" i="9"/>
  <c r="H11" i="9"/>
  <c r="G11" i="9"/>
  <c r="E11" i="9"/>
  <c r="D11" i="9"/>
  <c r="B11" i="9"/>
  <c r="AJ10" i="9"/>
  <c r="AF10" i="9"/>
  <c r="AB10" i="9"/>
  <c r="W10" i="9"/>
  <c r="R10" i="9"/>
  <c r="I10" i="9"/>
  <c r="F10" i="9"/>
  <c r="C10" i="9"/>
  <c r="AJ9" i="9"/>
  <c r="AF9" i="9"/>
  <c r="AB9" i="9"/>
  <c r="W9" i="9"/>
  <c r="R9" i="9"/>
  <c r="I9" i="9"/>
  <c r="F9" i="9"/>
  <c r="C9" i="9"/>
  <c r="AJ8" i="9"/>
  <c r="AF8" i="9"/>
  <c r="AB8" i="9"/>
  <c r="W8" i="9"/>
  <c r="R8" i="9"/>
  <c r="I8" i="9"/>
  <c r="F8" i="9"/>
  <c r="C8" i="9"/>
  <c r="AJ7" i="9"/>
  <c r="AF7" i="9"/>
  <c r="AB7" i="9"/>
  <c r="W7" i="9"/>
  <c r="R7" i="9"/>
  <c r="I7" i="9"/>
  <c r="F7" i="9"/>
  <c r="C7" i="9"/>
  <c r="AJ6" i="9"/>
  <c r="AF6" i="9"/>
  <c r="AB6" i="9"/>
  <c r="W6" i="9"/>
  <c r="R6" i="9"/>
  <c r="I6" i="9"/>
  <c r="F6" i="9"/>
  <c r="C6" i="9"/>
  <c r="AJ5" i="9"/>
  <c r="AF5" i="9"/>
  <c r="AB5" i="9"/>
  <c r="W5" i="9"/>
  <c r="R5" i="9"/>
  <c r="I5" i="9"/>
  <c r="F5" i="9"/>
  <c r="C5" i="9"/>
  <c r="AJ4" i="9"/>
  <c r="AF4" i="9"/>
  <c r="AB4" i="9"/>
  <c r="W4" i="9"/>
  <c r="R4" i="9"/>
  <c r="I4" i="9"/>
  <c r="F4" i="9"/>
  <c r="C4" i="9"/>
  <c r="AJ3" i="9"/>
  <c r="AF3" i="9"/>
  <c r="AB3" i="9"/>
  <c r="W3" i="9"/>
  <c r="R3" i="9"/>
  <c r="I3" i="9"/>
  <c r="F3" i="9"/>
  <c r="C3" i="9"/>
  <c r="AJ2" i="9"/>
  <c r="AF2" i="9"/>
  <c r="AB2" i="9"/>
  <c r="W2" i="9"/>
  <c r="R2" i="9"/>
  <c r="I2" i="9"/>
  <c r="F2" i="9"/>
  <c r="C2" i="9"/>
  <c r="Z19" i="4"/>
  <c r="U19" i="4"/>
  <c r="AJ15" i="4"/>
  <c r="AJ16" i="4"/>
  <c r="AJ17" i="4"/>
  <c r="AJ18" i="4"/>
  <c r="AJ14" i="4"/>
  <c r="AF15" i="4"/>
  <c r="AF16" i="4"/>
  <c r="AF17" i="4"/>
  <c r="AF18" i="4"/>
  <c r="AF14" i="4"/>
  <c r="AB15" i="4"/>
  <c r="AB16" i="4"/>
  <c r="AB17" i="4"/>
  <c r="AB18" i="4"/>
  <c r="AB14" i="4"/>
  <c r="W15" i="4"/>
  <c r="W16" i="4"/>
  <c r="W17" i="4"/>
  <c r="W18" i="4"/>
  <c r="W14" i="4"/>
  <c r="R15" i="4"/>
  <c r="R16" i="4"/>
  <c r="R17" i="4"/>
  <c r="R18" i="4"/>
  <c r="R14" i="4"/>
  <c r="AJ11" i="4"/>
  <c r="AJ4" i="4"/>
  <c r="AJ5" i="4"/>
  <c r="AJ6" i="4"/>
  <c r="AJ7" i="4"/>
  <c r="AJ8" i="4"/>
  <c r="AJ9" i="4"/>
  <c r="AJ10" i="4"/>
  <c r="AJ3" i="4"/>
  <c r="AJ2" i="4"/>
  <c r="AF11" i="4"/>
  <c r="AF4" i="4"/>
  <c r="AF5" i="4"/>
  <c r="AF6" i="4"/>
  <c r="AF7" i="4"/>
  <c r="AF8" i="4"/>
  <c r="AF9" i="4"/>
  <c r="AF10" i="4"/>
  <c r="AF3" i="4"/>
  <c r="AF2" i="4"/>
  <c r="AB11" i="4"/>
  <c r="AB4" i="4"/>
  <c r="AB5" i="4"/>
  <c r="AB6" i="4"/>
  <c r="AB7" i="4"/>
  <c r="AB8" i="4"/>
  <c r="AB9" i="4"/>
  <c r="AB10" i="4"/>
  <c r="AB3" i="4"/>
  <c r="AB2" i="4"/>
  <c r="W11" i="4"/>
  <c r="W4" i="4"/>
  <c r="W5" i="4"/>
  <c r="W6" i="4"/>
  <c r="W7" i="4"/>
  <c r="W8" i="4"/>
  <c r="W9" i="4"/>
  <c r="W10" i="4"/>
  <c r="W3" i="4"/>
  <c r="W2" i="4"/>
  <c r="R11" i="4"/>
  <c r="R8" i="4"/>
  <c r="R9" i="4"/>
  <c r="R10" i="4"/>
  <c r="R7" i="4"/>
  <c r="R6" i="4"/>
  <c r="R5" i="4"/>
  <c r="R4" i="4"/>
  <c r="R3" i="4"/>
  <c r="R2" i="4"/>
  <c r="Z19" i="2"/>
  <c r="U19" i="2"/>
  <c r="AJ19" i="2"/>
  <c r="AJ18" i="2"/>
  <c r="AJ17" i="2"/>
  <c r="AJ16" i="2"/>
  <c r="AJ15" i="2"/>
  <c r="AJ14" i="2"/>
  <c r="AF19" i="2"/>
  <c r="AF18" i="2"/>
  <c r="AF17" i="2"/>
  <c r="AF16" i="2"/>
  <c r="AF15" i="2"/>
  <c r="AF14" i="2"/>
  <c r="AB18" i="2"/>
  <c r="AB17" i="2"/>
  <c r="AB16" i="2"/>
  <c r="AB15" i="2"/>
  <c r="AB14" i="2"/>
  <c r="W18" i="2"/>
  <c r="W17" i="2"/>
  <c r="W16" i="2"/>
  <c r="W15" i="2"/>
  <c r="W14" i="2"/>
  <c r="R19" i="2"/>
  <c r="R18" i="2"/>
  <c r="R17" i="2"/>
  <c r="R16" i="2"/>
  <c r="R15" i="2"/>
  <c r="R14" i="2"/>
  <c r="AF11" i="2"/>
  <c r="AF10" i="2"/>
  <c r="AF9" i="2"/>
  <c r="AF8" i="2"/>
  <c r="AF7" i="2"/>
  <c r="AF6" i="2"/>
  <c r="AF5" i="2"/>
  <c r="AF4" i="2"/>
  <c r="AF3" i="2"/>
  <c r="AF2" i="2"/>
  <c r="AB11" i="2"/>
  <c r="AB10" i="2"/>
  <c r="AB9" i="2"/>
  <c r="AB8" i="2"/>
  <c r="AB7" i="2"/>
  <c r="AB6" i="2"/>
  <c r="AB5" i="2"/>
  <c r="AB4" i="2"/>
  <c r="AB3" i="2"/>
  <c r="AB2" i="2"/>
  <c r="W10" i="2"/>
  <c r="W9" i="2"/>
  <c r="W8" i="2"/>
  <c r="W7" i="2"/>
  <c r="W6" i="2"/>
  <c r="W5" i="2"/>
  <c r="W4" i="2"/>
  <c r="W3" i="2"/>
  <c r="W2" i="2"/>
  <c r="R11" i="2"/>
  <c r="R10" i="2"/>
  <c r="R9" i="2"/>
  <c r="R8" i="2"/>
  <c r="R7" i="2"/>
  <c r="R6" i="2"/>
  <c r="R5" i="2"/>
  <c r="R4" i="2"/>
  <c r="R3" i="2"/>
  <c r="R2" i="2"/>
  <c r="AJ11" i="2"/>
  <c r="AJ10" i="2"/>
  <c r="Z11" i="2"/>
  <c r="U11" i="2"/>
  <c r="AJ9" i="2"/>
  <c r="AJ8" i="2"/>
  <c r="AJ7" i="2"/>
  <c r="AJ6" i="2"/>
  <c r="AJ5" i="2"/>
  <c r="AJ4" i="2"/>
  <c r="AJ3" i="2"/>
  <c r="AJ2" i="2"/>
  <c r="Z11" i="4"/>
  <c r="U11" i="4"/>
  <c r="AI19" i="4"/>
  <c r="AH19" i="4"/>
  <c r="AG19" i="4"/>
  <c r="AE19" i="4"/>
  <c r="AD19" i="4"/>
  <c r="AC19" i="4"/>
  <c r="AA19" i="4"/>
  <c r="Y19" i="4"/>
  <c r="X19" i="4"/>
  <c r="V19" i="4"/>
  <c r="T19" i="4"/>
  <c r="S19" i="4"/>
  <c r="Q19" i="4"/>
  <c r="P19" i="4"/>
  <c r="O19" i="4"/>
  <c r="N19" i="4"/>
  <c r="M19" i="4"/>
  <c r="L19" i="4"/>
  <c r="K19" i="4"/>
  <c r="J19" i="4"/>
  <c r="H19" i="4"/>
  <c r="G19" i="4"/>
  <c r="E19" i="4"/>
  <c r="D19" i="4"/>
  <c r="B19" i="4"/>
  <c r="I18" i="4"/>
  <c r="F18" i="4"/>
  <c r="C18" i="4"/>
  <c r="I17" i="4"/>
  <c r="F17" i="4"/>
  <c r="C17" i="4"/>
  <c r="I16" i="4"/>
  <c r="F16" i="4"/>
  <c r="C16" i="4"/>
  <c r="I15" i="4"/>
  <c r="F15" i="4"/>
  <c r="C15" i="4"/>
  <c r="I14" i="4"/>
  <c r="F14" i="4"/>
  <c r="C14" i="4"/>
  <c r="AI19" i="2"/>
  <c r="AH19" i="2"/>
  <c r="AG19" i="2"/>
  <c r="AE19" i="2"/>
  <c r="AD19" i="2"/>
  <c r="AC19" i="2"/>
  <c r="AA19" i="2"/>
  <c r="Y19" i="2"/>
  <c r="X19" i="2"/>
  <c r="V19" i="2"/>
  <c r="T19" i="2"/>
  <c r="S19" i="2"/>
  <c r="Q19" i="2"/>
  <c r="P19" i="2"/>
  <c r="O19" i="2"/>
  <c r="N19" i="2"/>
  <c r="M19" i="2"/>
  <c r="L19" i="2"/>
  <c r="K19" i="2"/>
  <c r="J19" i="2"/>
  <c r="H19" i="2"/>
  <c r="G19" i="2"/>
  <c r="E19" i="2"/>
  <c r="D19" i="2"/>
  <c r="B19" i="2"/>
  <c r="I18" i="2"/>
  <c r="F18" i="2"/>
  <c r="C18" i="2"/>
  <c r="I17" i="2"/>
  <c r="F17" i="2"/>
  <c r="C17" i="2"/>
  <c r="I16" i="2"/>
  <c r="F16" i="2"/>
  <c r="C16" i="2"/>
  <c r="I15" i="2"/>
  <c r="F15" i="2"/>
  <c r="C15" i="2"/>
  <c r="I14" i="2"/>
  <c r="F14" i="2"/>
  <c r="C14" i="2"/>
  <c r="AI11" i="4"/>
  <c r="AH11" i="4"/>
  <c r="AG11" i="4"/>
  <c r="AE11" i="4"/>
  <c r="AD11" i="4"/>
  <c r="AC11" i="4"/>
  <c r="AA11" i="4"/>
  <c r="Y11" i="4"/>
  <c r="X11" i="4"/>
  <c r="V11" i="4"/>
  <c r="T11" i="4"/>
  <c r="S11" i="4"/>
  <c r="Q11" i="4"/>
  <c r="P11" i="4"/>
  <c r="O11" i="4"/>
  <c r="N11" i="4"/>
  <c r="M11" i="4"/>
  <c r="L11" i="4"/>
  <c r="K11" i="4"/>
  <c r="J11" i="4"/>
  <c r="H11" i="4"/>
  <c r="G11" i="4"/>
  <c r="E11" i="4"/>
  <c r="D11" i="4"/>
  <c r="B11" i="4"/>
  <c r="I10" i="4"/>
  <c r="F10" i="4"/>
  <c r="C10" i="4"/>
  <c r="I9" i="4"/>
  <c r="F9" i="4"/>
  <c r="C9" i="4"/>
  <c r="I8" i="4"/>
  <c r="F8" i="4"/>
  <c r="C8" i="4"/>
  <c r="I7" i="4"/>
  <c r="F7" i="4"/>
  <c r="C7" i="4"/>
  <c r="I6" i="4"/>
  <c r="F6" i="4"/>
  <c r="C6" i="4"/>
  <c r="I5" i="4"/>
  <c r="F5" i="4"/>
  <c r="C5" i="4"/>
  <c r="I4" i="4"/>
  <c r="F4" i="4"/>
  <c r="C4" i="4"/>
  <c r="I3" i="4"/>
  <c r="F3" i="4"/>
  <c r="C3" i="4"/>
  <c r="I2" i="4"/>
  <c r="F2" i="4"/>
  <c r="C2" i="4"/>
  <c r="AI11" i="2"/>
  <c r="AH11" i="2"/>
  <c r="AG11" i="2"/>
  <c r="AE11" i="2"/>
  <c r="AD11" i="2"/>
  <c r="AC11" i="2"/>
  <c r="AA11" i="2"/>
  <c r="Y11" i="2"/>
  <c r="X11" i="2"/>
  <c r="V11" i="2"/>
  <c r="T11" i="2"/>
  <c r="S11" i="2"/>
  <c r="Q11" i="2"/>
  <c r="P11" i="2"/>
  <c r="O11" i="2"/>
  <c r="N11" i="2"/>
  <c r="M11" i="2"/>
  <c r="L11" i="2"/>
  <c r="K11" i="2"/>
  <c r="J11" i="2"/>
  <c r="H11" i="2"/>
  <c r="G11" i="2"/>
  <c r="E11" i="2"/>
  <c r="D11" i="2"/>
  <c r="I10" i="2"/>
  <c r="F10" i="2"/>
  <c r="C10" i="2"/>
  <c r="B11" i="2"/>
  <c r="I9" i="2"/>
  <c r="F9" i="2"/>
  <c r="C9" i="2"/>
  <c r="I8" i="2"/>
  <c r="F8" i="2"/>
  <c r="C8" i="2"/>
  <c r="I7" i="2"/>
  <c r="F7" i="2"/>
  <c r="C7" i="2"/>
  <c r="I6" i="2"/>
  <c r="F6" i="2"/>
  <c r="C6" i="2"/>
  <c r="C5" i="2"/>
  <c r="F5" i="2"/>
  <c r="I5" i="2"/>
  <c r="I4" i="2"/>
  <c r="F4" i="2"/>
  <c r="C4" i="2"/>
  <c r="C3" i="2"/>
  <c r="F3" i="2"/>
  <c r="I3" i="2"/>
  <c r="I2" i="2"/>
  <c r="F2" i="2"/>
  <c r="C2" i="2"/>
  <c r="E14" i="1"/>
  <c r="D14" i="1"/>
  <c r="C14" i="1"/>
  <c r="F19" i="12" l="1"/>
  <c r="R19" i="12"/>
  <c r="AJ19" i="12"/>
  <c r="AB19" i="12"/>
  <c r="W19" i="12"/>
  <c r="I19" i="12"/>
  <c r="C19" i="12"/>
  <c r="W11" i="12"/>
  <c r="R11" i="12"/>
  <c r="I11" i="12"/>
  <c r="AJ11" i="12"/>
  <c r="C11" i="12"/>
  <c r="AF11" i="12"/>
  <c r="AB11" i="12"/>
  <c r="F11" i="12"/>
  <c r="F19" i="11"/>
  <c r="AJ19" i="11"/>
  <c r="W19" i="11"/>
  <c r="AF19" i="11"/>
  <c r="AB19" i="11"/>
  <c r="R19" i="11"/>
  <c r="I19" i="11"/>
  <c r="C19" i="11"/>
  <c r="C11" i="11"/>
  <c r="AJ11" i="11"/>
  <c r="W11" i="11"/>
  <c r="R11" i="11"/>
  <c r="I11" i="11"/>
  <c r="AF11" i="11"/>
  <c r="AB11" i="11"/>
  <c r="F11" i="11"/>
  <c r="F19" i="10"/>
  <c r="W19" i="10"/>
  <c r="I19" i="10"/>
  <c r="C19" i="10"/>
  <c r="AJ19" i="10"/>
  <c r="AF19" i="10"/>
  <c r="AB19" i="10"/>
  <c r="R19" i="10"/>
  <c r="I11" i="10"/>
  <c r="AJ11" i="10"/>
  <c r="AF11" i="10"/>
  <c r="AB11" i="10"/>
  <c r="R11" i="10"/>
  <c r="C11" i="10"/>
  <c r="W11" i="10"/>
  <c r="F11" i="10"/>
  <c r="W19" i="9"/>
  <c r="C19" i="9"/>
  <c r="AF19" i="9"/>
  <c r="AB19" i="9"/>
  <c r="R19" i="9"/>
  <c r="W11" i="9"/>
  <c r="I11" i="9"/>
  <c r="F11" i="9"/>
  <c r="AF11" i="9"/>
  <c r="AB11" i="9"/>
  <c r="R11" i="9"/>
  <c r="AJ19" i="9"/>
  <c r="I19" i="9"/>
  <c r="AJ11" i="9"/>
  <c r="C11" i="9"/>
  <c r="AB19" i="4"/>
  <c r="W19" i="4"/>
  <c r="AJ19" i="4"/>
  <c r="AF19" i="4"/>
  <c r="R19" i="4"/>
  <c r="AB19" i="2"/>
  <c r="W19" i="2"/>
  <c r="W11" i="2"/>
  <c r="I19" i="2"/>
  <c r="C19" i="2"/>
  <c r="F19" i="2"/>
  <c r="C11" i="2"/>
  <c r="I19" i="4"/>
  <c r="F19" i="4"/>
  <c r="C19" i="4"/>
  <c r="I11" i="4"/>
  <c r="F11" i="4"/>
  <c r="C11" i="4"/>
  <c r="I11" i="2"/>
  <c r="F11" i="2"/>
</calcChain>
</file>

<file path=xl/sharedStrings.xml><?xml version="1.0" encoding="utf-8"?>
<sst xmlns="http://schemas.openxmlformats.org/spreadsheetml/2006/main" count="552" uniqueCount="63">
  <si>
    <t>ผลการติดตามการดำเนินงานตามมาตรฐานสถานพัฒนาเด็กปฐมวัยแห่งชาติ</t>
  </si>
  <si>
    <t>สังกัด</t>
  </si>
  <si>
    <t>ชื่อหน่วยงาน</t>
  </si>
  <si>
    <t>จำนวนครูหรือผู้ดูแลเด็ก</t>
  </si>
  <si>
    <t>จำนวนเด็ก</t>
  </si>
  <si>
    <t>จำนวน
สถานพัฒนา
เด็กปฐมวัย</t>
  </si>
  <si>
    <t>กระทรวงมหาดไทย</t>
  </si>
  <si>
    <t>กรมส่งเสริมการปกครองท้องถิ่น</t>
  </si>
  <si>
    <t>พัทยา</t>
  </si>
  <si>
    <t>กระทรวงการพัฒนาสังคมและความมั่นคงของมนุษย์</t>
  </si>
  <si>
    <t>กรมกิจการเด็กและเยาวชน</t>
  </si>
  <si>
    <t>กรุงเทพมหานคร</t>
  </si>
  <si>
    <t>สำนักการศึกษา</t>
  </si>
  <si>
    <t>สำนักอนามัย</t>
  </si>
  <si>
    <t>สำนักพัฒนาสังคม</t>
  </si>
  <si>
    <t>กระทรวงสาธารณสุข</t>
  </si>
  <si>
    <t>สถาบันพัฒนาอนามัยเด็กแห่งชาติ</t>
  </si>
  <si>
    <t>กรมอนามัย</t>
  </si>
  <si>
    <t>กระทรวงศึกษาธิการ</t>
  </si>
  <si>
    <t>สำนักงานคณะกรรมการการศึกษาขั้นพื้นฐาน</t>
  </si>
  <si>
    <t>สำนักงานคณะกรรมการการศึกษาเอกชน</t>
  </si>
  <si>
    <t>สำนักงานตำรวจแห่งชาติ</t>
  </si>
  <si>
    <t>กองบัญชาการตำรวจตระเวนชายแดน</t>
  </si>
  <si>
    <t>รวม</t>
  </si>
  <si>
    <t>กระทรวงกลาโหม</t>
  </si>
  <si>
    <t>กระทรวงการอุดมศึกษาฯ</t>
  </si>
  <si>
    <t>กระทรวงแรงงาน</t>
  </si>
  <si>
    <t>จำนวน
สถานพัฒนา
เด็กปฐมวัยทั้งหมด</t>
  </si>
  <si>
    <t>จำนวน
สถานพัฒนา
เด็กปฐมวัย
ที่ทำแบบประเมิน</t>
  </si>
  <si>
    <t>จำนวน
สถานพัฒนา
เด็กปฐมวัย
ที่ไม่ได้ทำแบบประเมิน</t>
  </si>
  <si>
    <t>จำนวนครู/
ครูผู้ช่วย
ที่ไม่ได้จบสาขาปฐมวัย</t>
  </si>
  <si>
    <t>จำนวนครู/
ครูผู้ช่วย
ที่จบสาขาปฐมวัย</t>
  </si>
  <si>
    <t>จำนวนเด็กปฐมวัย</t>
  </si>
  <si>
    <t>จำนวนพี่เลี้ยง/ผู้ดูแลเด็ก
ที่จบสาขาปฐมวัย</t>
  </si>
  <si>
    <t>จำนวนพี่เลี้ยง/ผู้ดูแลเด็ก 
ที่ไม่ได้จบสาขาปฐมวัย</t>
  </si>
  <si>
    <t>จำนวนพี่เลี้ยง/ผู้ดูแลเด็กทั้งหมด</t>
  </si>
  <si>
    <t>จำนวนครู/
ครูผู้ช่วย
ทั้งหมด</t>
  </si>
  <si>
    <t>จำนวน
สถานพัฒนา
เด็กปฐมวัย
ที่ผ่านเกณฑ์</t>
  </si>
  <si>
    <t>จำนวน
สถานพัฒนา
เด็กปฐมวัย
ที่ต้องปรับปรุง</t>
  </si>
  <si>
    <t>เกรด A</t>
  </si>
  <si>
    <t>เกรด B</t>
  </si>
  <si>
    <t>เกรด C</t>
  </si>
  <si>
    <t>เกรด D</t>
  </si>
  <si>
    <t>มาตรฐานด้านที่ 1 ผ่าน</t>
  </si>
  <si>
    <t>มาตรฐานด้านที่ 1 ไม่ผ่าน</t>
  </si>
  <si>
    <t>มาตรฐานด้านที่ 1 ไม่ระบุ</t>
  </si>
  <si>
    <t>มาตรฐานด้านที่ 2 ผ่าน</t>
  </si>
  <si>
    <t>มาตรฐานด้านที่ 2 ไม่ผ่าน</t>
  </si>
  <si>
    <t>มาตรฐานด้านที่ 2 ไม่ระบุ</t>
  </si>
  <si>
    <t>มาตรฐานด้านที่ 3ก ผ่าน</t>
  </si>
  <si>
    <t>มาตรฐานด้านที่ 3ก ไม่ผ่าน</t>
  </si>
  <si>
    <t>มาตรฐานด้านที่ 3ก ไม่ระบุ</t>
  </si>
  <si>
    <t>มาตรฐานด้านที่ 3ข ผ่าน</t>
  </si>
  <si>
    <t>มาตรฐานด้านที่ 3ข ไม่ผ่าน</t>
  </si>
  <si>
    <t>มาตรฐานด้านที่ 3ข ไม่ระบุ</t>
  </si>
  <si>
    <t>ภูมิภาค</t>
  </si>
  <si>
    <t>ภาคกลาง</t>
  </si>
  <si>
    <t>ภาคตะวันออกเฉียงเหนือ</t>
  </si>
  <si>
    <t>ภาคใต้</t>
  </si>
  <si>
    <t>ภาคเหนือ</t>
  </si>
  <si>
    <t>Null</t>
  </si>
  <si>
    <t>มาตรฐานด้านที่ 1 สถานะ 2</t>
  </si>
  <si>
    <t>มาตรฐานด้านที่ 2 สถานะ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</si>
</sst>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H SarabunPSK"/>
      <family val="2"/>
    </font>
    <font>
      <sz val="14"/>
      <color theme="1"/>
      <name val="TH SarabunPSK"/>
      <family val="2"/>
    </font>
    <font>
      <sz val="12"/>
      <color theme="1"/>
      <name val="TH SarabunPSK"/>
      <family val="2"/>
    </font>
    <font>
      <b/>
      <sz val="11"/>
      <color theme="1"/>
      <name val="TH SarabunPSK"/>
      <family val="2"/>
    </font>
    <font>
      <sz val="11"/>
      <name val="Calibri"/>
      <family val="2"/>
      <scheme val="minor"/>
    </font>
    <font>
      <sz val="11"/>
      <name val="TH SarabunPSK"/>
      <family val="2"/>
    </font>
    <font>
      <sz val="12"/>
      <name val="TH SarabunPSK"/>
      <family val="2"/>
    </font>
    <font>
      <b/>
      <sz val="12"/>
      <color theme="1"/>
      <name val="TH SarabunPSK"/>
      <family val="2"/>
    </font>
    <font>
      <b/>
      <sz val="12"/>
      <name val="TH SarabunPSK"/>
      <family val="2"/>
    </font>
    <font>
      <b/>
      <sz val="11"/>
      <name val="TH SarabunPSK"/>
      <family val="2"/>
    </font>
    <font>
      <sz val="16"/>
      <color theme="1"/>
      <name val="TH SarabunPSK"/>
      <family val="2"/>
    </font>
    <font>
      <b/>
      <sz val="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7">
    <xf numFmtId="0" fontId="0" fillId="0" borderId="0" xfId="0"/>
    <xf numFmtId="0" fontId="4" fillId="0" borderId="0" xfId="0" applyFont="1" applyAlignment="1">
      <alignment vertical="top"/>
    </xf>
    <xf numFmtId="0" fontId="0" fillId="0" borderId="0" xfId="0" applyAlignment="1">
      <alignment vertical="top"/>
    </xf>
    <xf numFmtId="0" fontId="3" fillId="0" borderId="0" xfId="0" applyFont="1" applyAlignment="1">
      <alignment vertical="top"/>
    </xf>
    <xf numFmtId="0" fontId="3" fillId="0" borderId="0" xfId="0" applyFont="1" applyAlignment="1">
      <alignment vertical="top" wrapText="1"/>
    </xf>
    <xf numFmtId="164" fontId="5" fillId="0" borderId="0" xfId="1" applyNumberFormat="1" applyFont="1" applyAlignment="1">
      <alignment vertical="top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vertical="top"/>
    </xf>
    <xf numFmtId="0" fontId="0" fillId="2" borderId="0" xfId="0" applyFill="1" applyAlignment="1">
      <alignment vertical="top"/>
    </xf>
    <xf numFmtId="0" fontId="0" fillId="2" borderId="0" xfId="0" applyFill="1"/>
    <xf numFmtId="0" fontId="3" fillId="3" borderId="0" xfId="0" applyFont="1" applyFill="1" applyAlignment="1">
      <alignment horizontal="center" vertical="center" wrapText="1"/>
    </xf>
    <xf numFmtId="164" fontId="5" fillId="0" borderId="0" xfId="1" applyNumberFormat="1" applyFont="1"/>
    <xf numFmtId="164" fontId="5" fillId="0" borderId="0" xfId="1" applyNumberFormat="1" applyFont="1" applyAlignment="1">
      <alignment horizontal="right" vertical="top"/>
    </xf>
    <xf numFmtId="164" fontId="5" fillId="0" borderId="0" xfId="1" applyNumberFormat="1" applyFont="1" applyAlignment="1">
      <alignment horizontal="right"/>
    </xf>
    <xf numFmtId="0" fontId="0" fillId="4" borderId="0" xfId="0" applyFill="1"/>
    <xf numFmtId="0" fontId="3" fillId="4" borderId="0" xfId="0" applyFont="1" applyFill="1" applyAlignment="1">
      <alignment horizontal="center" vertical="center" wrapText="1"/>
    </xf>
    <xf numFmtId="164" fontId="5" fillId="4" borderId="0" xfId="1" applyNumberFormat="1" applyFont="1" applyFill="1" applyAlignment="1">
      <alignment horizontal="right" vertical="top"/>
    </xf>
    <xf numFmtId="164" fontId="5" fillId="4" borderId="0" xfId="1" applyNumberFormat="1" applyFont="1" applyFill="1" applyAlignment="1">
      <alignment horizontal="right"/>
    </xf>
    <xf numFmtId="164" fontId="5" fillId="4" borderId="0" xfId="1" applyNumberFormat="1" applyFont="1" applyFill="1"/>
    <xf numFmtId="0" fontId="0" fillId="5" borderId="0" xfId="0" applyFill="1"/>
    <xf numFmtId="0" fontId="3" fillId="5" borderId="0" xfId="0" applyFont="1" applyFill="1" applyAlignment="1">
      <alignment horizontal="center" vertical="center" wrapText="1"/>
    </xf>
    <xf numFmtId="164" fontId="5" fillId="5" borderId="0" xfId="1" applyNumberFormat="1" applyFont="1" applyFill="1" applyAlignment="1">
      <alignment horizontal="right"/>
    </xf>
    <xf numFmtId="164" fontId="5" fillId="5" borderId="0" xfId="1" applyNumberFormat="1" applyFont="1" applyFill="1" applyAlignment="1">
      <alignment horizontal="right" vertical="top"/>
    </xf>
    <xf numFmtId="164" fontId="5" fillId="5" borderId="0" xfId="1" applyNumberFormat="1" applyFont="1" applyFill="1"/>
    <xf numFmtId="164" fontId="5" fillId="5" borderId="0" xfId="1" applyNumberFormat="1" applyFont="1" applyFill="1" applyAlignment="1">
      <alignment vertical="top"/>
    </xf>
    <xf numFmtId="0" fontId="0" fillId="3" borderId="0" xfId="0" applyFill="1"/>
    <xf numFmtId="164" fontId="5" fillId="3" borderId="0" xfId="1" applyNumberFormat="1" applyFont="1" applyFill="1" applyAlignment="1">
      <alignment horizontal="right" vertical="top"/>
    </xf>
    <xf numFmtId="164" fontId="5" fillId="3" borderId="0" xfId="1" applyNumberFormat="1" applyFont="1" applyFill="1" applyAlignment="1">
      <alignment horizontal="right"/>
    </xf>
    <xf numFmtId="164" fontId="5" fillId="3" borderId="0" xfId="1" applyNumberFormat="1" applyFont="1" applyFill="1" applyAlignment="1">
      <alignment vertical="top"/>
    </xf>
    <xf numFmtId="164" fontId="5" fillId="3" borderId="0" xfId="1" applyNumberFormat="1" applyFont="1" applyFill="1"/>
    <xf numFmtId="0" fontId="7" fillId="6" borderId="0" xfId="0" applyFont="1" applyFill="1"/>
    <xf numFmtId="0" fontId="8" fillId="6" borderId="0" xfId="0" applyFont="1" applyFill="1" applyAlignment="1">
      <alignment horizontal="center" vertical="center" wrapText="1"/>
    </xf>
    <xf numFmtId="164" fontId="9" fillId="6" borderId="0" xfId="1" applyNumberFormat="1" applyFont="1" applyFill="1" applyAlignment="1">
      <alignment horizontal="right"/>
    </xf>
    <xf numFmtId="164" fontId="8" fillId="6" borderId="0" xfId="1" applyNumberFormat="1" applyFont="1" applyFill="1" applyAlignment="1">
      <alignment horizontal="right" vertical="top"/>
    </xf>
    <xf numFmtId="164" fontId="9" fillId="6" borderId="0" xfId="1" applyNumberFormat="1" applyFont="1" applyFill="1" applyAlignment="1">
      <alignment horizontal="right" vertical="top"/>
    </xf>
    <xf numFmtId="164" fontId="9" fillId="6" borderId="0" xfId="1" applyNumberFormat="1" applyFont="1" applyFill="1" applyAlignment="1">
      <alignment vertical="top"/>
    </xf>
    <xf numFmtId="164" fontId="8" fillId="6" borderId="0" xfId="1" applyNumberFormat="1" applyFont="1" applyFill="1" applyAlignment="1">
      <alignment vertical="top"/>
    </xf>
    <xf numFmtId="164" fontId="9" fillId="6" borderId="0" xfId="1" applyNumberFormat="1" applyFont="1" applyFill="1"/>
    <xf numFmtId="164" fontId="8" fillId="6" borderId="0" xfId="1" applyNumberFormat="1" applyFont="1" applyFill="1"/>
    <xf numFmtId="0" fontId="8" fillId="6" borderId="0" xfId="0" applyFont="1" applyFill="1"/>
    <xf numFmtId="0" fontId="3" fillId="7" borderId="0" xfId="0" applyFont="1" applyFill="1" applyAlignment="1">
      <alignment horizontal="center" vertical="center"/>
    </xf>
    <xf numFmtId="164" fontId="10" fillId="7" borderId="0" xfId="1" applyNumberFormat="1" applyFont="1" applyFill="1" applyAlignment="1">
      <alignment horizontal="right" vertical="top"/>
    </xf>
    <xf numFmtId="164" fontId="11" fillId="7" borderId="0" xfId="1" applyNumberFormat="1" applyFont="1" applyFill="1" applyAlignment="1">
      <alignment horizontal="right" vertical="top"/>
    </xf>
    <xf numFmtId="164" fontId="12" fillId="7" borderId="0" xfId="1" applyNumberFormat="1" applyFont="1" applyFill="1" applyAlignment="1">
      <alignment horizontal="right" vertical="top"/>
    </xf>
    <xf numFmtId="0" fontId="2" fillId="7" borderId="0" xfId="0" applyFont="1" applyFill="1"/>
    <xf numFmtId="164" fontId="6" fillId="2" borderId="0" xfId="0" applyNumberFormat="1" applyFont="1" applyFill="1" applyAlignment="1">
      <alignment vertical="top"/>
    </xf>
    <xf numFmtId="0" fontId="3" fillId="8" borderId="0" xfId="0" applyFont="1" applyFill="1" applyAlignment="1">
      <alignment horizontal="center" vertical="center"/>
    </xf>
    <xf numFmtId="164" fontId="5" fillId="8" borderId="0" xfId="1" applyNumberFormat="1" applyFont="1" applyFill="1" applyAlignment="1">
      <alignment horizontal="right" vertical="top"/>
    </xf>
    <xf numFmtId="164" fontId="5" fillId="8" borderId="0" xfId="1" applyNumberFormat="1" applyFont="1" applyFill="1" applyAlignment="1">
      <alignment vertical="top"/>
    </xf>
    <xf numFmtId="0" fontId="0" fillId="8" borderId="0" xfId="0" applyFill="1" applyAlignment="1">
      <alignment vertical="top"/>
    </xf>
    <xf numFmtId="0" fontId="0" fillId="8" borderId="0" xfId="0" applyFill="1"/>
    <xf numFmtId="0" fontId="3" fillId="6" borderId="0" xfId="0" applyFont="1" applyFill="1" applyAlignment="1">
      <alignment horizontal="center" vertical="center" wrapText="1"/>
    </xf>
    <xf numFmtId="164" fontId="5" fillId="6" borderId="0" xfId="1" applyNumberFormat="1" applyFont="1" applyFill="1" applyAlignment="1">
      <alignment horizontal="right" vertical="top"/>
    </xf>
    <xf numFmtId="164" fontId="5" fillId="6" borderId="0" xfId="1" applyNumberFormat="1" applyFont="1" applyFill="1" applyAlignment="1">
      <alignment vertical="top"/>
    </xf>
    <xf numFmtId="0" fontId="0" fillId="6" borderId="0" xfId="0" applyFill="1" applyAlignment="1">
      <alignment vertical="top"/>
    </xf>
    <xf numFmtId="0" fontId="0" fillId="6" borderId="0" xfId="0" applyFill="1"/>
    <xf numFmtId="164" fontId="5" fillId="4" borderId="0" xfId="1" applyNumberFormat="1" applyFont="1" applyFill="1" applyAlignment="1">
      <alignment vertical="top"/>
    </xf>
    <xf numFmtId="0" fontId="0" fillId="4" borderId="0" xfId="0" applyFill="1" applyAlignment="1">
      <alignment vertical="top"/>
    </xf>
    <xf numFmtId="0" fontId="3" fillId="9" borderId="0" xfId="0" applyFont="1" applyFill="1" applyAlignment="1">
      <alignment horizontal="center" vertical="center" wrapText="1"/>
    </xf>
    <xf numFmtId="164" fontId="5" fillId="9" borderId="0" xfId="1" applyNumberFormat="1" applyFont="1" applyFill="1" applyAlignment="1">
      <alignment horizontal="right" vertical="top"/>
    </xf>
    <xf numFmtId="164" fontId="5" fillId="9" borderId="0" xfId="1" applyNumberFormat="1" applyFont="1" applyFill="1" applyAlignment="1">
      <alignment vertical="top"/>
    </xf>
    <xf numFmtId="0" fontId="0" fillId="9" borderId="0" xfId="0" applyFill="1" applyAlignment="1">
      <alignment vertical="top"/>
    </xf>
    <xf numFmtId="0" fontId="0" fillId="9" borderId="0" xfId="0" applyFill="1"/>
    <xf numFmtId="0" fontId="3" fillId="8" borderId="0" xfId="0" applyFont="1" applyFill="1" applyAlignment="1">
      <alignment horizontal="center" vertical="center" wrapText="1"/>
    </xf>
    <xf numFmtId="164" fontId="5" fillId="8" borderId="0" xfId="1" applyNumberFormat="1" applyFont="1" applyFill="1" applyAlignment="1">
      <alignment horizontal="right"/>
    </xf>
    <xf numFmtId="164" fontId="5" fillId="8" borderId="0" xfId="1" applyNumberFormat="1" applyFont="1" applyFill="1"/>
    <xf numFmtId="0" fontId="3" fillId="10" borderId="0" xfId="0" applyFont="1" applyFill="1" applyAlignment="1">
      <alignment horizontal="center" vertical="center" wrapText="1"/>
    </xf>
    <xf numFmtId="164" fontId="5" fillId="10" borderId="0" xfId="1" applyNumberFormat="1" applyFont="1" applyFill="1" applyAlignment="1">
      <alignment horizontal="right" vertical="top"/>
    </xf>
    <xf numFmtId="164" fontId="5" fillId="10" borderId="0" xfId="1" applyNumberFormat="1" applyFont="1" applyFill="1" applyAlignment="1">
      <alignment vertical="top"/>
    </xf>
    <xf numFmtId="0" fontId="0" fillId="10" borderId="0" xfId="0" applyFill="1" applyAlignment="1">
      <alignment vertical="top"/>
    </xf>
    <xf numFmtId="0" fontId="0" fillId="10" borderId="0" xfId="0" applyFill="1"/>
    <xf numFmtId="0" fontId="3" fillId="11" borderId="0" xfId="0" applyFont="1" applyFill="1" applyAlignment="1">
      <alignment horizontal="center" vertical="center" wrapText="1"/>
    </xf>
    <xf numFmtId="164" fontId="5" fillId="11" borderId="0" xfId="1" applyNumberFormat="1" applyFont="1" applyFill="1" applyAlignment="1">
      <alignment horizontal="right" vertical="top"/>
    </xf>
    <xf numFmtId="164" fontId="5" fillId="11" borderId="0" xfId="1" applyNumberFormat="1" applyFont="1" applyFill="1" applyAlignment="1">
      <alignment vertical="top"/>
    </xf>
    <xf numFmtId="0" fontId="0" fillId="11" borderId="0" xfId="0" applyFill="1" applyAlignment="1">
      <alignment vertical="top"/>
    </xf>
    <xf numFmtId="0" fontId="0" fillId="11" borderId="0" xfId="0" applyFill="1"/>
    <xf numFmtId="0" fontId="13" fillId="0" borderId="0" xfId="0" applyFont="1" applyAlignment="1">
      <alignment vertical="top"/>
    </xf>
    <xf numFmtId="0" fontId="0" fillId="7" borderId="0" xfId="0" applyFill="1"/>
    <xf numFmtId="164" fontId="3" fillId="10" borderId="0" xfId="0" applyNumberFormat="1" applyFont="1" applyFill="1"/>
    <xf numFmtId="164" fontId="5" fillId="2" borderId="0" xfId="1" applyNumberFormat="1" applyFont="1" applyFill="1" applyAlignment="1">
      <alignment horizontal="right" vertical="top"/>
    </xf>
    <xf numFmtId="164" fontId="5" fillId="2" borderId="0" xfId="1" applyNumberFormat="1" applyFont="1" applyFill="1" applyAlignment="1">
      <alignment horizontal="right"/>
    </xf>
    <xf numFmtId="164" fontId="5" fillId="2" borderId="0" xfId="1" applyNumberFormat="1" applyFont="1" applyFill="1" applyAlignment="1">
      <alignment vertical="top"/>
    </xf>
    <xf numFmtId="164" fontId="5" fillId="2" borderId="0" xfId="1" applyNumberFormat="1" applyFont="1" applyFill="1"/>
    <xf numFmtId="164" fontId="0" fillId="2" borderId="0" xfId="0" applyNumberFormat="1" applyFill="1"/>
    <xf numFmtId="0" fontId="0" fillId="2" borderId="0" xfId="0" applyFont="1" applyFill="1"/>
    <xf numFmtId="164" fontId="2" fillId="2" borderId="0" xfId="0" applyNumberFormat="1" applyFont="1" applyFill="1"/>
    <xf numFmtId="164" fontId="1" fillId="2" borderId="0" xfId="1" applyNumberFormat="1" applyFont="1" applyFill="1" applyAlignment="1">
      <alignment horizontal="right"/>
    </xf>
    <xf numFmtId="164" fontId="1" fillId="2" borderId="0" xfId="1" applyNumberFormat="1" applyFont="1" applyFill="1" applyAlignment="1">
      <alignment horizontal="right" vertical="top"/>
    </xf>
    <xf numFmtId="164" fontId="2" fillId="2" borderId="0" xfId="1" applyNumberFormat="1" applyFont="1" applyFill="1" applyAlignment="1">
      <alignment horizontal="right" vertical="top"/>
    </xf>
    <xf numFmtId="164" fontId="1" fillId="2" borderId="0" xfId="1" applyNumberFormat="1" applyFont="1" applyFill="1" applyAlignment="1">
      <alignment vertical="top"/>
    </xf>
    <xf numFmtId="164" fontId="0" fillId="2" borderId="0" xfId="0" applyNumberFormat="1" applyFill="1" applyAlignment="1">
      <alignment vertical="top"/>
    </xf>
    <xf numFmtId="164" fontId="2" fillId="2" borderId="0" xfId="1" applyNumberFormat="1" applyFont="1" applyFill="1"/>
    <xf numFmtId="164" fontId="2" fillId="2" borderId="0" xfId="1" applyNumberFormat="1" applyFont="1" applyFill="1" applyAlignment="1">
      <alignment vertical="top"/>
    </xf>
    <xf numFmtId="0" fontId="8" fillId="2" borderId="0" xfId="0" applyFont="1" applyFill="1" applyAlignment="1">
      <alignment horizontal="center" vertical="center" wrapText="1"/>
    </xf>
    <xf numFmtId="164" fontId="7" fillId="2" borderId="0" xfId="1" applyNumberFormat="1" applyFont="1" applyFill="1" applyAlignment="1">
      <alignment horizontal="right"/>
    </xf>
    <xf numFmtId="164" fontId="14" fillId="2" borderId="0" xfId="1" applyNumberFormat="1" applyFont="1" applyFill="1" applyAlignment="1">
      <alignment horizontal="right" vertical="top"/>
    </xf>
    <xf numFmtId="164" fontId="9" fillId="2" borderId="0" xfId="1" applyNumberFormat="1" applyFont="1" applyFill="1" applyAlignment="1">
      <alignment horizontal="right" vertical="top"/>
    </xf>
    <xf numFmtId="164" fontId="9" fillId="2" borderId="0" xfId="1" applyNumberFormat="1" applyFont="1" applyFill="1" applyAlignment="1">
      <alignment vertical="top"/>
    </xf>
    <xf numFmtId="164" fontId="9" fillId="2" borderId="0" xfId="1" applyNumberFormat="1" applyFont="1" applyFill="1"/>
    <xf numFmtId="0" fontId="7" fillId="2" borderId="0" xfId="0" applyFont="1" applyFill="1"/>
    <xf numFmtId="164" fontId="7" fillId="2" borderId="0" xfId="1" applyNumberFormat="1" applyFont="1" applyFill="1" applyAlignment="1">
      <alignment horizontal="right" vertical="top"/>
    </xf>
    <xf numFmtId="164" fontId="10" fillId="7" borderId="0" xfId="1" applyNumberFormat="1" applyFont="1" applyFill="1" applyAlignment="1">
      <alignment vertical="top"/>
    </xf>
    <xf numFmtId="164" fontId="10" fillId="7" borderId="0" xfId="1" applyNumberFormat="1" applyFont="1" applyFill="1"/>
    <xf numFmtId="164" fontId="11" fillId="7" borderId="0" xfId="1" applyNumberFormat="1" applyFont="1" applyFill="1" applyAlignment="1">
      <alignment vertical="top"/>
    </xf>
    <xf numFmtId="164" fontId="12" fillId="7" borderId="0" xfId="1" applyNumberFormat="1" applyFont="1" applyFill="1" applyAlignment="1">
      <alignment vertical="top"/>
    </xf>
    <xf numFmtId="164" fontId="14" fillId="2" borderId="0" xfId="1" applyNumberFormat="1" applyFont="1" applyFill="1" applyAlignment="1">
      <alignment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0F952-26D0-4710-9999-05F62B79E4E4}">
  <dimension ref="A1:J97"/>
  <sheetViews>
    <sheetView topLeftCell="A7" workbookViewId="0">
      <selection activeCell="D16" sqref="D16"/>
    </sheetView>
  </sheetViews>
  <sheetFormatPr defaultRowHeight="14.5" x14ac:dyDescent="0.35"/>
  <cols>
    <col min="1" max="1" width="24.36328125" customWidth="1"/>
    <col min="2" max="2" width="30.36328125" customWidth="1"/>
    <col min="3" max="3" width="14.08984375" customWidth="1"/>
    <col min="4" max="4" width="14" customWidth="1"/>
    <col min="5" max="5" width="13.81640625" customWidth="1"/>
  </cols>
  <sheetData>
    <row r="1" spans="1:10" ht="21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0" s="10" customFormat="1" ht="51" x14ac:dyDescent="0.35">
      <c r="A2" s="6" t="s">
        <v>1</v>
      </c>
      <c r="B2" s="6" t="s">
        <v>2</v>
      </c>
      <c r="C2" s="7" t="s">
        <v>5</v>
      </c>
      <c r="D2" s="7" t="s">
        <v>3</v>
      </c>
      <c r="E2" s="6" t="s">
        <v>4</v>
      </c>
      <c r="F2" s="8"/>
      <c r="G2" s="8"/>
      <c r="H2" s="8"/>
      <c r="I2" s="9"/>
      <c r="J2" s="9"/>
    </row>
    <row r="3" spans="1:10" ht="18.5" x14ac:dyDescent="0.35">
      <c r="A3" s="3" t="s">
        <v>6</v>
      </c>
      <c r="B3" s="3" t="s">
        <v>7</v>
      </c>
      <c r="C3" s="5">
        <v>18810</v>
      </c>
      <c r="D3" s="5">
        <v>53900</v>
      </c>
      <c r="E3" s="5">
        <v>887880</v>
      </c>
      <c r="F3" s="3"/>
      <c r="G3" s="3"/>
      <c r="H3" s="3"/>
      <c r="I3" s="2"/>
      <c r="J3" s="2"/>
    </row>
    <row r="4" spans="1:10" ht="18.5" x14ac:dyDescent="0.35">
      <c r="A4" s="3"/>
      <c r="B4" s="3" t="s">
        <v>8</v>
      </c>
      <c r="C4" s="5">
        <v>2</v>
      </c>
      <c r="D4" s="5">
        <v>45</v>
      </c>
      <c r="E4" s="5">
        <v>1040</v>
      </c>
      <c r="F4" s="3"/>
      <c r="G4" s="3"/>
      <c r="H4" s="3"/>
      <c r="I4" s="2"/>
      <c r="J4" s="2"/>
    </row>
    <row r="5" spans="1:10" ht="34" x14ac:dyDescent="0.35">
      <c r="A5" s="4" t="s">
        <v>9</v>
      </c>
      <c r="B5" s="3" t="s">
        <v>10</v>
      </c>
      <c r="C5" s="5">
        <v>1537</v>
      </c>
      <c r="D5" s="5">
        <v>7417</v>
      </c>
      <c r="E5" s="5">
        <v>74867</v>
      </c>
      <c r="F5" s="3"/>
      <c r="G5" s="3"/>
      <c r="H5" s="3"/>
      <c r="I5" s="2"/>
      <c r="J5" s="2"/>
    </row>
    <row r="6" spans="1:10" ht="18.5" x14ac:dyDescent="0.35">
      <c r="A6" s="3" t="s">
        <v>11</v>
      </c>
      <c r="B6" s="3" t="s">
        <v>12</v>
      </c>
      <c r="C6" s="5">
        <v>429</v>
      </c>
      <c r="D6" s="5">
        <v>1486</v>
      </c>
      <c r="E6" s="5">
        <v>44553</v>
      </c>
      <c r="F6" s="3"/>
      <c r="G6" s="3"/>
      <c r="H6" s="3"/>
      <c r="I6" s="2"/>
      <c r="J6" s="2"/>
    </row>
    <row r="7" spans="1:10" ht="18.5" x14ac:dyDescent="0.35">
      <c r="A7" s="3"/>
      <c r="B7" s="3" t="s">
        <v>13</v>
      </c>
      <c r="C7" s="5">
        <v>10</v>
      </c>
      <c r="D7" s="5">
        <v>38</v>
      </c>
      <c r="E7" s="5">
        <v>412</v>
      </c>
      <c r="F7" s="3"/>
      <c r="G7" s="3"/>
      <c r="H7" s="3"/>
      <c r="I7" s="2"/>
      <c r="J7" s="2"/>
    </row>
    <row r="8" spans="1:10" ht="18.5" x14ac:dyDescent="0.35">
      <c r="A8" s="3"/>
      <c r="B8" s="3" t="s">
        <v>14</v>
      </c>
      <c r="C8" s="5">
        <v>292</v>
      </c>
      <c r="D8" s="5">
        <v>2053</v>
      </c>
      <c r="E8" s="5">
        <v>22713</v>
      </c>
      <c r="F8" s="3"/>
      <c r="G8" s="3"/>
      <c r="H8" s="3"/>
      <c r="I8" s="2"/>
      <c r="J8" s="2"/>
    </row>
    <row r="9" spans="1:10" ht="18.5" x14ac:dyDescent="0.35">
      <c r="A9" s="3" t="s">
        <v>15</v>
      </c>
      <c r="B9" s="3" t="s">
        <v>16</v>
      </c>
      <c r="C9" s="5">
        <v>2</v>
      </c>
      <c r="D9" s="5">
        <v>45</v>
      </c>
      <c r="E9" s="5">
        <v>192</v>
      </c>
      <c r="F9" s="3"/>
      <c r="G9" s="3"/>
      <c r="H9" s="3"/>
      <c r="I9" s="2"/>
      <c r="J9" s="2"/>
    </row>
    <row r="10" spans="1:10" ht="18.5" x14ac:dyDescent="0.35">
      <c r="A10" s="3"/>
      <c r="B10" s="3" t="s">
        <v>17</v>
      </c>
      <c r="C10" s="5">
        <v>10</v>
      </c>
      <c r="D10" s="5">
        <v>119</v>
      </c>
      <c r="E10" s="5">
        <v>589</v>
      </c>
      <c r="F10" s="3"/>
      <c r="G10" s="3"/>
      <c r="H10" s="3"/>
      <c r="I10" s="2"/>
      <c r="J10" s="2"/>
    </row>
    <row r="11" spans="1:10" ht="34" x14ac:dyDescent="0.35">
      <c r="A11" s="3" t="s">
        <v>18</v>
      </c>
      <c r="B11" s="4" t="s">
        <v>19</v>
      </c>
      <c r="C11" s="5">
        <v>26269</v>
      </c>
      <c r="D11" s="5">
        <v>48570</v>
      </c>
      <c r="E11" s="5">
        <v>899527</v>
      </c>
      <c r="F11" s="3"/>
      <c r="G11" s="3"/>
      <c r="H11" s="3"/>
      <c r="I11" s="2"/>
      <c r="J11" s="2"/>
    </row>
    <row r="12" spans="1:10" ht="34" x14ac:dyDescent="0.35">
      <c r="A12" s="3"/>
      <c r="B12" s="4" t="s">
        <v>20</v>
      </c>
      <c r="C12" s="5">
        <v>3273</v>
      </c>
      <c r="D12" s="5">
        <v>36020</v>
      </c>
      <c r="E12" s="5">
        <v>611623</v>
      </c>
      <c r="F12" s="3"/>
      <c r="G12" s="3"/>
      <c r="H12" s="3"/>
      <c r="I12" s="2"/>
      <c r="J12" s="2"/>
    </row>
    <row r="13" spans="1:10" ht="18.5" x14ac:dyDescent="0.35">
      <c r="A13" s="3" t="s">
        <v>21</v>
      </c>
      <c r="B13" s="3" t="s">
        <v>22</v>
      </c>
      <c r="C13" s="5">
        <v>216</v>
      </c>
      <c r="D13" s="5">
        <v>234</v>
      </c>
      <c r="E13" s="5">
        <v>6813</v>
      </c>
      <c r="F13" s="3"/>
      <c r="G13" s="3"/>
      <c r="H13" s="3"/>
      <c r="I13" s="2"/>
      <c r="J13" s="2"/>
    </row>
    <row r="14" spans="1:10" s="10" customFormat="1" ht="17" x14ac:dyDescent="0.35">
      <c r="A14" s="6" t="s">
        <v>23</v>
      </c>
      <c r="B14" s="8"/>
      <c r="C14" s="46">
        <f>SUM(C3:C13)</f>
        <v>50850</v>
      </c>
      <c r="D14" s="46">
        <f>SUM(D3:D13)</f>
        <v>149927</v>
      </c>
      <c r="E14" s="46">
        <f>SUM(E3:E13)</f>
        <v>2550209</v>
      </c>
      <c r="F14" s="8"/>
      <c r="G14" s="8"/>
      <c r="H14" s="8"/>
      <c r="I14" s="9"/>
      <c r="J14" s="9"/>
    </row>
    <row r="15" spans="1:10" ht="17" x14ac:dyDescent="0.35">
      <c r="A15" s="3"/>
      <c r="B15" s="3"/>
      <c r="C15" s="3"/>
      <c r="D15" s="3"/>
      <c r="E15" s="3"/>
      <c r="F15" s="3"/>
      <c r="G15" s="3"/>
      <c r="H15" s="3"/>
      <c r="I15" s="2"/>
      <c r="J15" s="2"/>
    </row>
    <row r="16" spans="1:10" ht="17" x14ac:dyDescent="0.35">
      <c r="A16" s="3"/>
      <c r="B16" s="3"/>
      <c r="C16" s="3"/>
      <c r="D16" s="3"/>
      <c r="E16" s="3"/>
      <c r="F16" s="3"/>
      <c r="G16" s="3"/>
      <c r="H16" s="3"/>
      <c r="I16" s="2"/>
      <c r="J16" s="2"/>
    </row>
    <row r="17" spans="1:10" ht="17" x14ac:dyDescent="0.35">
      <c r="A17" s="3"/>
      <c r="B17" s="3"/>
      <c r="C17" s="3"/>
      <c r="D17" s="3"/>
      <c r="E17" s="3"/>
      <c r="F17" s="3"/>
      <c r="G17" s="3"/>
      <c r="H17" s="3"/>
      <c r="I17" s="2"/>
      <c r="J17" s="2"/>
    </row>
    <row r="18" spans="1:10" ht="17" x14ac:dyDescent="0.35">
      <c r="A18" s="3"/>
      <c r="B18" s="3"/>
      <c r="C18" s="3"/>
      <c r="D18" s="3"/>
      <c r="E18" s="3"/>
      <c r="F18" s="3"/>
      <c r="G18" s="3"/>
      <c r="H18" s="3"/>
      <c r="I18" s="2"/>
      <c r="J18" s="2"/>
    </row>
    <row r="19" spans="1:10" ht="17" x14ac:dyDescent="0.35">
      <c r="A19" s="3"/>
      <c r="B19" s="3"/>
      <c r="C19" s="3"/>
      <c r="D19" s="3"/>
      <c r="E19" s="3"/>
      <c r="F19" s="3"/>
      <c r="G19" s="3"/>
      <c r="H19" s="3"/>
      <c r="I19" s="2"/>
      <c r="J19" s="2"/>
    </row>
    <row r="20" spans="1:10" ht="17" x14ac:dyDescent="0.35">
      <c r="A20" s="3"/>
      <c r="B20" s="3"/>
      <c r="C20" s="3"/>
      <c r="D20" s="3"/>
      <c r="E20" s="3"/>
      <c r="F20" s="3"/>
      <c r="G20" s="3"/>
      <c r="H20" s="3"/>
      <c r="I20" s="2"/>
      <c r="J20" s="2"/>
    </row>
    <row r="21" spans="1:10" ht="17" x14ac:dyDescent="0.35">
      <c r="A21" s="3"/>
      <c r="B21" s="3"/>
      <c r="C21" s="3"/>
      <c r="D21" s="3"/>
      <c r="E21" s="3"/>
      <c r="F21" s="3"/>
      <c r="G21" s="3"/>
      <c r="H21" s="3"/>
      <c r="I21" s="2"/>
      <c r="J21" s="2"/>
    </row>
    <row r="22" spans="1:10" ht="17" x14ac:dyDescent="0.35">
      <c r="A22" s="3"/>
      <c r="B22" s="3"/>
      <c r="C22" s="3"/>
      <c r="D22" s="3"/>
      <c r="E22" s="3"/>
      <c r="F22" s="3"/>
      <c r="G22" s="3"/>
      <c r="H22" s="3"/>
      <c r="I22" s="2"/>
      <c r="J22" s="2"/>
    </row>
    <row r="23" spans="1:10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</row>
    <row r="24" spans="1:10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</row>
    <row r="25" spans="1:10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</row>
    <row r="26" spans="1:10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</row>
    <row r="27" spans="1:10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</row>
    <row r="28" spans="1:10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</row>
    <row r="29" spans="1:10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</row>
    <row r="30" spans="1:10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</row>
    <row r="31" spans="1:10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</row>
    <row r="32" spans="1:10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</row>
    <row r="33" spans="1:10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</row>
    <row r="34" spans="1:10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</row>
    <row r="35" spans="1:10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</row>
    <row r="36" spans="1:10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</row>
    <row r="37" spans="1:10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</row>
    <row r="38" spans="1:10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</row>
    <row r="39" spans="1:10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</row>
    <row r="40" spans="1:10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</row>
    <row r="41" spans="1:10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</row>
    <row r="42" spans="1:10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</row>
    <row r="43" spans="1:10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</row>
    <row r="44" spans="1:10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</row>
    <row r="45" spans="1:10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</row>
    <row r="46" spans="1:10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</row>
    <row r="47" spans="1:10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</row>
    <row r="48" spans="1:10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</row>
    <row r="49" spans="1:10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</row>
    <row r="50" spans="1:10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</row>
    <row r="51" spans="1:10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</row>
    <row r="52" spans="1:10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</row>
    <row r="53" spans="1:10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</row>
    <row r="54" spans="1:10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</row>
    <row r="55" spans="1:10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</row>
    <row r="56" spans="1:10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</row>
    <row r="57" spans="1:10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</row>
    <row r="58" spans="1:10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</row>
    <row r="59" spans="1:10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</row>
    <row r="60" spans="1:10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</row>
    <row r="61" spans="1:10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</row>
    <row r="62" spans="1:10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</row>
    <row r="63" spans="1:10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</row>
    <row r="64" spans="1:10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</row>
    <row r="65" spans="1:10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</row>
    <row r="66" spans="1:10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</row>
    <row r="67" spans="1:10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</row>
    <row r="68" spans="1:10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</row>
    <row r="69" spans="1:10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</row>
    <row r="70" spans="1:10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</row>
    <row r="71" spans="1:10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</row>
    <row r="72" spans="1:10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</row>
    <row r="73" spans="1:10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</row>
    <row r="74" spans="1:10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</row>
    <row r="75" spans="1:10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</row>
    <row r="76" spans="1:10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</row>
    <row r="77" spans="1:10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</row>
    <row r="78" spans="1:10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</row>
    <row r="79" spans="1:10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</row>
    <row r="80" spans="1:10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</row>
    <row r="81" spans="1:10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</row>
    <row r="82" spans="1:10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</row>
    <row r="83" spans="1:10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</row>
    <row r="84" spans="1:10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</row>
    <row r="85" spans="1:10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</row>
    <row r="86" spans="1:10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</row>
    <row r="87" spans="1:10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</row>
    <row r="88" spans="1:10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</row>
    <row r="89" spans="1:10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</row>
    <row r="90" spans="1:10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</row>
    <row r="91" spans="1:10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</row>
    <row r="92" spans="1:10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</row>
    <row r="93" spans="1:10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spans="1:10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</row>
    <row r="96" spans="1:10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</row>
    <row r="97" spans="1:10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B36D2-DD81-428E-8ADB-CCB80A853A68}">
  <dimension ref="A1:AJ96"/>
  <sheetViews>
    <sheetView workbookViewId="0">
      <pane xSplit="1" topLeftCell="B1" activePane="topRight" state="frozen"/>
      <selection pane="topRight" activeCell="AJ4" sqref="AJ4"/>
    </sheetView>
  </sheetViews>
  <sheetFormatPr defaultRowHeight="14.5" x14ac:dyDescent="0.35"/>
  <cols>
    <col min="1" max="1" width="24.36328125" customWidth="1"/>
    <col min="2" max="2" width="14.6328125" style="51" customWidth="1"/>
    <col min="3" max="3" width="13.08984375" style="71" customWidth="1"/>
    <col min="4" max="5" width="13.90625" style="56" customWidth="1"/>
    <col min="6" max="6" width="13.453125" style="76" customWidth="1"/>
    <col min="7" max="7" width="14.36328125" style="15" customWidth="1"/>
    <col min="8" max="8" width="13.36328125" style="15" customWidth="1"/>
    <col min="9" max="9" width="14.36328125" style="63" customWidth="1"/>
    <col min="10" max="10" width="14.453125" style="51" customWidth="1"/>
    <col min="11" max="11" width="14.26953125" style="51" customWidth="1"/>
    <col min="12" max="12" width="14" style="26" customWidth="1"/>
    <col min="13" max="13" width="13.36328125" style="26" customWidth="1"/>
    <col min="14" max="17" width="8.81640625" bestFit="1" customWidth="1"/>
    <col min="18" max="18" width="8.81640625" style="10" customWidth="1"/>
    <col min="19" max="20" width="8.81640625" style="15" bestFit="1" customWidth="1"/>
    <col min="21" max="21" width="8.81640625" style="15" customWidth="1"/>
    <col min="22" max="22" width="8.81640625" style="15" bestFit="1" customWidth="1"/>
    <col min="23" max="23" width="8.81640625" style="10" customWidth="1"/>
    <col min="24" max="24" width="10.08984375" style="20" bestFit="1" customWidth="1"/>
    <col min="25" max="25" width="8.81640625" style="20" bestFit="1" customWidth="1"/>
    <col min="26" max="26" width="8.81640625" style="20" customWidth="1"/>
    <col min="27" max="27" width="8.81640625" style="20" bestFit="1" customWidth="1"/>
    <col min="28" max="28" width="8.81640625" style="10" customWidth="1"/>
    <col min="29" max="30" width="8.81640625" style="26" bestFit="1" customWidth="1"/>
    <col min="31" max="31" width="10.08984375" style="26" bestFit="1" customWidth="1"/>
    <col min="32" max="32" width="10.08984375" style="85" customWidth="1"/>
    <col min="33" max="33" width="10.08984375" style="31" bestFit="1" customWidth="1"/>
    <col min="34" max="35" width="8.7265625" style="31"/>
    <col min="36" max="36" width="8.7265625" style="10"/>
  </cols>
  <sheetData>
    <row r="1" spans="1:36" s="10" customFormat="1" ht="85" x14ac:dyDescent="0.35">
      <c r="A1" s="6" t="s">
        <v>1</v>
      </c>
      <c r="B1" s="47" t="s">
        <v>32</v>
      </c>
      <c r="C1" s="67" t="s">
        <v>36</v>
      </c>
      <c r="D1" s="52" t="s">
        <v>31</v>
      </c>
      <c r="E1" s="52" t="s">
        <v>30</v>
      </c>
      <c r="F1" s="72" t="s">
        <v>35</v>
      </c>
      <c r="G1" s="16" t="s">
        <v>33</v>
      </c>
      <c r="H1" s="16" t="s">
        <v>34</v>
      </c>
      <c r="I1" s="59" t="s">
        <v>27</v>
      </c>
      <c r="J1" s="64" t="s">
        <v>29</v>
      </c>
      <c r="K1" s="64" t="s">
        <v>28</v>
      </c>
      <c r="L1" s="11" t="s">
        <v>37</v>
      </c>
      <c r="M1" s="11" t="s">
        <v>38</v>
      </c>
      <c r="N1" s="6" t="s">
        <v>39</v>
      </c>
      <c r="O1" s="6" t="s">
        <v>40</v>
      </c>
      <c r="P1" s="6" t="s">
        <v>41</v>
      </c>
      <c r="Q1" s="6" t="s">
        <v>42</v>
      </c>
      <c r="R1" s="6" t="s">
        <v>23</v>
      </c>
      <c r="S1" s="16" t="s">
        <v>43</v>
      </c>
      <c r="T1" s="16" t="s">
        <v>44</v>
      </c>
      <c r="U1" s="16" t="s">
        <v>61</v>
      </c>
      <c r="V1" s="16" t="s">
        <v>45</v>
      </c>
      <c r="W1" s="7" t="s">
        <v>23</v>
      </c>
      <c r="X1" s="21" t="s">
        <v>46</v>
      </c>
      <c r="Y1" s="21" t="s">
        <v>47</v>
      </c>
      <c r="Z1" s="21" t="s">
        <v>62</v>
      </c>
      <c r="AA1" s="21" t="s">
        <v>48</v>
      </c>
      <c r="AB1" s="7" t="s">
        <v>23</v>
      </c>
      <c r="AC1" s="11" t="s">
        <v>49</v>
      </c>
      <c r="AD1" s="11" t="s">
        <v>50</v>
      </c>
      <c r="AE1" s="11" t="s">
        <v>51</v>
      </c>
      <c r="AF1" s="7" t="s">
        <v>23</v>
      </c>
      <c r="AG1" s="32" t="s">
        <v>52</v>
      </c>
      <c r="AH1" s="32" t="s">
        <v>53</v>
      </c>
      <c r="AI1" s="32" t="s">
        <v>54</v>
      </c>
      <c r="AJ1" s="6" t="s">
        <v>23</v>
      </c>
    </row>
    <row r="2" spans="1:36" ht="18.5" x14ac:dyDescent="0.65">
      <c r="A2" s="3" t="s">
        <v>18</v>
      </c>
      <c r="B2" s="48">
        <v>1211173</v>
      </c>
      <c r="C2" s="68">
        <f t="shared" ref="C2:C10" si="0">SUM(D2:E2)</f>
        <v>22514</v>
      </c>
      <c r="D2" s="53">
        <v>14165</v>
      </c>
      <c r="E2" s="53">
        <v>8349</v>
      </c>
      <c r="F2" s="73">
        <f t="shared" ref="F2:F10" si="1">SUM(G2:H2)</f>
        <v>4652</v>
      </c>
      <c r="G2" s="17">
        <v>724</v>
      </c>
      <c r="H2" s="17">
        <v>3928</v>
      </c>
      <c r="I2" s="60">
        <f t="shared" ref="I2:I10" si="2">SUM(J2:K2)</f>
        <v>29936</v>
      </c>
      <c r="J2" s="48">
        <v>9056</v>
      </c>
      <c r="K2" s="48">
        <v>20880</v>
      </c>
      <c r="L2" s="27">
        <v>20491</v>
      </c>
      <c r="M2" s="27">
        <v>389</v>
      </c>
      <c r="N2" s="13">
        <v>11487</v>
      </c>
      <c r="O2" s="13">
        <v>8676</v>
      </c>
      <c r="P2" s="13">
        <v>328</v>
      </c>
      <c r="Q2" s="13">
        <v>389</v>
      </c>
      <c r="R2" s="88">
        <f>SUM(N2:Q2)</f>
        <v>20880</v>
      </c>
      <c r="S2" s="17">
        <v>20626</v>
      </c>
      <c r="T2" s="17">
        <v>93</v>
      </c>
      <c r="U2" s="17">
        <v>161</v>
      </c>
      <c r="V2" s="17">
        <v>0</v>
      </c>
      <c r="W2" s="88">
        <f>SUM(S2:V2)</f>
        <v>20880</v>
      </c>
      <c r="X2" s="22">
        <v>20545</v>
      </c>
      <c r="Y2" s="23">
        <v>174</v>
      </c>
      <c r="Z2" s="23">
        <v>161</v>
      </c>
      <c r="AA2" s="23">
        <v>0</v>
      </c>
      <c r="AB2" s="88">
        <f>SUM(X2:AA2)</f>
        <v>20880</v>
      </c>
      <c r="AC2" s="27">
        <v>368</v>
      </c>
      <c r="AD2" s="27">
        <v>82</v>
      </c>
      <c r="AE2" s="28">
        <v>20430</v>
      </c>
      <c r="AF2" s="87">
        <f>SUM(AC2:AE2)</f>
        <v>20880</v>
      </c>
      <c r="AG2" s="33">
        <v>18952</v>
      </c>
      <c r="AH2" s="34">
        <v>292</v>
      </c>
      <c r="AI2" s="33">
        <v>1636</v>
      </c>
      <c r="AJ2" s="84">
        <f>SUM(AG2:AI2)</f>
        <v>20880</v>
      </c>
    </row>
    <row r="3" spans="1:36" ht="18.5" x14ac:dyDescent="0.65">
      <c r="A3" s="3" t="s">
        <v>6</v>
      </c>
      <c r="B3" s="48">
        <v>684808</v>
      </c>
      <c r="C3" s="68">
        <f t="shared" si="0"/>
        <v>10875</v>
      </c>
      <c r="D3" s="53">
        <v>9985</v>
      </c>
      <c r="E3" s="53">
        <v>890</v>
      </c>
      <c r="F3" s="73">
        <f t="shared" si="1"/>
        <v>12198</v>
      </c>
      <c r="G3" s="17">
        <v>6513</v>
      </c>
      <c r="H3" s="17">
        <v>5685</v>
      </c>
      <c r="I3" s="60">
        <f t="shared" si="2"/>
        <v>19961</v>
      </c>
      <c r="J3" s="65">
        <v>5139</v>
      </c>
      <c r="K3" s="65">
        <v>14822</v>
      </c>
      <c r="L3" s="28">
        <v>14454</v>
      </c>
      <c r="M3" s="28">
        <v>368</v>
      </c>
      <c r="N3" s="14">
        <v>6401</v>
      </c>
      <c r="O3" s="14">
        <v>7527</v>
      </c>
      <c r="P3" s="14">
        <v>526</v>
      </c>
      <c r="Q3" s="14">
        <v>368</v>
      </c>
      <c r="R3" s="87">
        <f>SUM(N3:Q3)</f>
        <v>14822</v>
      </c>
      <c r="S3" s="18">
        <v>14475</v>
      </c>
      <c r="T3" s="18">
        <v>232</v>
      </c>
      <c r="U3" s="18">
        <v>115</v>
      </c>
      <c r="V3" s="18">
        <v>0</v>
      </c>
      <c r="W3" s="87">
        <f>SUM(S3:V3)</f>
        <v>14822</v>
      </c>
      <c r="X3" s="22">
        <v>14542</v>
      </c>
      <c r="Y3" s="22">
        <v>165</v>
      </c>
      <c r="Z3" s="22">
        <v>115</v>
      </c>
      <c r="AA3" s="22">
        <v>0</v>
      </c>
      <c r="AB3" s="87">
        <f>SUM(X3:AA3)</f>
        <v>14822</v>
      </c>
      <c r="AC3" s="28">
        <v>11367</v>
      </c>
      <c r="AD3" s="28">
        <v>417</v>
      </c>
      <c r="AE3" s="28">
        <v>3038</v>
      </c>
      <c r="AF3" s="87">
        <f>SUM(AC3:AE3)</f>
        <v>14822</v>
      </c>
      <c r="AG3" s="33">
        <v>12910</v>
      </c>
      <c r="AH3" s="33">
        <v>229</v>
      </c>
      <c r="AI3" s="33">
        <v>1683</v>
      </c>
      <c r="AJ3" s="84">
        <f>SUM(AG3:AI3)</f>
        <v>14822</v>
      </c>
    </row>
    <row r="4" spans="1:36" ht="34" x14ac:dyDescent="0.35">
      <c r="A4" s="4" t="s">
        <v>9</v>
      </c>
      <c r="B4" s="48">
        <v>14606</v>
      </c>
      <c r="C4" s="68">
        <f t="shared" si="0"/>
        <v>655</v>
      </c>
      <c r="D4" s="53">
        <v>241</v>
      </c>
      <c r="E4" s="53">
        <v>414</v>
      </c>
      <c r="F4" s="73">
        <f t="shared" si="1"/>
        <v>1053</v>
      </c>
      <c r="G4" s="17">
        <v>71</v>
      </c>
      <c r="H4" s="17">
        <v>982</v>
      </c>
      <c r="I4" s="60">
        <f t="shared" si="2"/>
        <v>1318</v>
      </c>
      <c r="J4" s="48">
        <v>449</v>
      </c>
      <c r="K4" s="48">
        <v>869</v>
      </c>
      <c r="L4" s="27">
        <v>810</v>
      </c>
      <c r="M4" s="27">
        <v>59</v>
      </c>
      <c r="N4" s="13">
        <v>418</v>
      </c>
      <c r="O4" s="13">
        <v>332</v>
      </c>
      <c r="P4" s="13">
        <v>60</v>
      </c>
      <c r="Q4" s="13">
        <v>59</v>
      </c>
      <c r="R4" s="88">
        <f>SUM(N4:Q4)</f>
        <v>869</v>
      </c>
      <c r="S4" s="17">
        <v>833</v>
      </c>
      <c r="T4" s="17">
        <v>34</v>
      </c>
      <c r="U4" s="17">
        <v>2</v>
      </c>
      <c r="V4" s="17">
        <v>0</v>
      </c>
      <c r="W4" s="88">
        <f>SUM(S4:V4)</f>
        <v>869</v>
      </c>
      <c r="X4" s="23">
        <v>828</v>
      </c>
      <c r="Y4" s="23">
        <v>39</v>
      </c>
      <c r="Z4" s="23">
        <v>2</v>
      </c>
      <c r="AA4" s="23">
        <v>0</v>
      </c>
      <c r="AB4" s="88">
        <f>SUM(X4:AA4)</f>
        <v>869</v>
      </c>
      <c r="AC4" s="27">
        <v>654</v>
      </c>
      <c r="AD4" s="27">
        <v>53</v>
      </c>
      <c r="AE4" s="27">
        <v>162</v>
      </c>
      <c r="AF4" s="88">
        <f>SUM(AC4:AE4)</f>
        <v>869</v>
      </c>
      <c r="AG4" s="35">
        <v>364</v>
      </c>
      <c r="AH4" s="35">
        <v>31</v>
      </c>
      <c r="AI4" s="35">
        <v>474</v>
      </c>
      <c r="AJ4" s="91">
        <f>SUM(AG4:AI4)</f>
        <v>869</v>
      </c>
    </row>
    <row r="5" spans="1:36" ht="18.5" x14ac:dyDescent="0.35">
      <c r="A5" s="3" t="s">
        <v>11</v>
      </c>
      <c r="B5" s="48">
        <v>42245</v>
      </c>
      <c r="C5" s="68">
        <f t="shared" si="0"/>
        <v>897</v>
      </c>
      <c r="D5" s="53">
        <v>720</v>
      </c>
      <c r="E5" s="53">
        <v>177</v>
      </c>
      <c r="F5" s="73">
        <f t="shared" si="1"/>
        <v>1450</v>
      </c>
      <c r="G5" s="17">
        <v>155</v>
      </c>
      <c r="H5" s="17">
        <v>1295</v>
      </c>
      <c r="I5" s="60">
        <f t="shared" si="2"/>
        <v>729</v>
      </c>
      <c r="J5" s="48">
        <v>102</v>
      </c>
      <c r="K5" s="48">
        <v>627</v>
      </c>
      <c r="L5" s="27">
        <v>627</v>
      </c>
      <c r="M5" s="27">
        <v>0</v>
      </c>
      <c r="N5" s="13">
        <v>417</v>
      </c>
      <c r="O5" s="13">
        <v>190</v>
      </c>
      <c r="P5" s="13">
        <v>20</v>
      </c>
      <c r="Q5" s="13">
        <v>0</v>
      </c>
      <c r="R5" s="88">
        <f>SUM(N5:Q5)</f>
        <v>627</v>
      </c>
      <c r="S5" s="17">
        <v>627</v>
      </c>
      <c r="T5" s="17">
        <v>0</v>
      </c>
      <c r="U5" s="17">
        <v>0</v>
      </c>
      <c r="V5" s="17">
        <v>0</v>
      </c>
      <c r="W5" s="88">
        <f>SUM(S5:V5)</f>
        <v>627</v>
      </c>
      <c r="X5" s="23">
        <v>626</v>
      </c>
      <c r="Y5" s="23">
        <v>1</v>
      </c>
      <c r="Z5" s="23">
        <v>0</v>
      </c>
      <c r="AA5" s="23">
        <v>0</v>
      </c>
      <c r="AB5" s="88">
        <f>SUM(X5:AA5)</f>
        <v>627</v>
      </c>
      <c r="AC5" s="27">
        <v>141</v>
      </c>
      <c r="AD5" s="27">
        <v>4</v>
      </c>
      <c r="AE5" s="27">
        <v>482</v>
      </c>
      <c r="AF5" s="88">
        <f>SUM(AC5:AE5)</f>
        <v>627</v>
      </c>
      <c r="AG5" s="35">
        <v>590</v>
      </c>
      <c r="AH5" s="34">
        <v>1</v>
      </c>
      <c r="AI5" s="35">
        <v>36</v>
      </c>
      <c r="AJ5" s="84">
        <f>SUM(AG5:AI5)</f>
        <v>627</v>
      </c>
    </row>
    <row r="6" spans="1:36" ht="18.5" x14ac:dyDescent="0.35">
      <c r="A6" s="3" t="s">
        <v>21</v>
      </c>
      <c r="B6" s="48">
        <v>3384</v>
      </c>
      <c r="C6" s="68">
        <f t="shared" si="0"/>
        <v>131</v>
      </c>
      <c r="D6" s="53">
        <v>48</v>
      </c>
      <c r="E6" s="53">
        <v>83</v>
      </c>
      <c r="F6" s="73">
        <f t="shared" si="1"/>
        <v>66</v>
      </c>
      <c r="G6" s="17">
        <v>10</v>
      </c>
      <c r="H6" s="17">
        <v>56</v>
      </c>
      <c r="I6" s="60">
        <f t="shared" si="2"/>
        <v>221</v>
      </c>
      <c r="J6" s="48">
        <v>105</v>
      </c>
      <c r="K6" s="48">
        <v>116</v>
      </c>
      <c r="L6" s="27">
        <v>110</v>
      </c>
      <c r="M6" s="27">
        <v>6</v>
      </c>
      <c r="N6" s="13">
        <v>52</v>
      </c>
      <c r="O6" s="13">
        <v>55</v>
      </c>
      <c r="P6" s="13">
        <v>3</v>
      </c>
      <c r="Q6" s="13">
        <v>6</v>
      </c>
      <c r="R6" s="88">
        <f>SUM(N6:Q6)</f>
        <v>116</v>
      </c>
      <c r="S6" s="17">
        <v>110</v>
      </c>
      <c r="T6" s="17">
        <v>5</v>
      </c>
      <c r="U6" s="17">
        <v>1</v>
      </c>
      <c r="V6" s="17">
        <v>0</v>
      </c>
      <c r="W6" s="88">
        <f>SUM(S6:V6)</f>
        <v>116</v>
      </c>
      <c r="X6" s="23">
        <v>111</v>
      </c>
      <c r="Y6" s="23">
        <v>4</v>
      </c>
      <c r="Z6" s="23">
        <v>1</v>
      </c>
      <c r="AA6" s="23">
        <v>0</v>
      </c>
      <c r="AB6" s="88">
        <f>SUM(X6:AA6)</f>
        <v>116</v>
      </c>
      <c r="AC6" s="27">
        <v>0</v>
      </c>
      <c r="AD6" s="27">
        <v>1</v>
      </c>
      <c r="AE6" s="27">
        <v>115</v>
      </c>
      <c r="AF6" s="88">
        <f>SUM(AC6:AE6)</f>
        <v>116</v>
      </c>
      <c r="AG6" s="35">
        <v>103</v>
      </c>
      <c r="AH6" s="34">
        <v>4</v>
      </c>
      <c r="AI6" s="35">
        <v>9</v>
      </c>
      <c r="AJ6" s="84">
        <f>SUM(AG6:AI6)</f>
        <v>116</v>
      </c>
    </row>
    <row r="7" spans="1:36" ht="18.5" x14ac:dyDescent="0.35">
      <c r="A7" s="3" t="s">
        <v>15</v>
      </c>
      <c r="B7" s="48">
        <v>354</v>
      </c>
      <c r="C7" s="68">
        <f t="shared" si="0"/>
        <v>15</v>
      </c>
      <c r="D7" s="53">
        <v>14</v>
      </c>
      <c r="E7" s="53">
        <v>1</v>
      </c>
      <c r="F7" s="73">
        <f t="shared" si="1"/>
        <v>62</v>
      </c>
      <c r="G7" s="17">
        <v>3</v>
      </c>
      <c r="H7" s="17">
        <v>59</v>
      </c>
      <c r="I7" s="60">
        <f t="shared" si="2"/>
        <v>49</v>
      </c>
      <c r="J7" s="48">
        <v>23</v>
      </c>
      <c r="K7" s="48">
        <v>26</v>
      </c>
      <c r="L7" s="27">
        <v>23</v>
      </c>
      <c r="M7" s="27">
        <v>3</v>
      </c>
      <c r="N7" s="13">
        <v>13</v>
      </c>
      <c r="O7" s="13">
        <v>6</v>
      </c>
      <c r="P7" s="13">
        <v>4</v>
      </c>
      <c r="Q7" s="13">
        <v>3</v>
      </c>
      <c r="R7" s="88">
        <f>SUM(N7:Q7)</f>
        <v>26</v>
      </c>
      <c r="S7" s="17">
        <v>24</v>
      </c>
      <c r="T7" s="17">
        <v>2</v>
      </c>
      <c r="U7" s="17">
        <v>0</v>
      </c>
      <c r="V7" s="17">
        <v>0</v>
      </c>
      <c r="W7" s="88">
        <f>SUM(S7:V7)</f>
        <v>26</v>
      </c>
      <c r="X7" s="23">
        <v>24</v>
      </c>
      <c r="Y7" s="23">
        <v>2</v>
      </c>
      <c r="Z7" s="23">
        <v>0</v>
      </c>
      <c r="AA7" s="23">
        <v>0</v>
      </c>
      <c r="AB7" s="88">
        <f>SUM(X7:AA7)</f>
        <v>26</v>
      </c>
      <c r="AC7" s="27">
        <v>24</v>
      </c>
      <c r="AD7" s="27">
        <v>1</v>
      </c>
      <c r="AE7" s="27">
        <v>1</v>
      </c>
      <c r="AF7" s="88">
        <f>SUM(AC7:AE7)</f>
        <v>26</v>
      </c>
      <c r="AG7" s="35">
        <v>9</v>
      </c>
      <c r="AH7" s="34">
        <v>0</v>
      </c>
      <c r="AI7" s="35">
        <v>17</v>
      </c>
      <c r="AJ7" s="84">
        <f>SUM(AG7:AI7)</f>
        <v>26</v>
      </c>
    </row>
    <row r="8" spans="1:36" ht="18.5" x14ac:dyDescent="0.35">
      <c r="A8" s="3" t="s">
        <v>24</v>
      </c>
      <c r="B8" s="48">
        <v>529</v>
      </c>
      <c r="C8" s="68">
        <f t="shared" si="0"/>
        <v>14</v>
      </c>
      <c r="D8" s="53">
        <v>7</v>
      </c>
      <c r="E8" s="53">
        <v>7</v>
      </c>
      <c r="F8" s="73">
        <f t="shared" si="1"/>
        <v>30</v>
      </c>
      <c r="G8" s="17">
        <v>1</v>
      </c>
      <c r="H8" s="17">
        <v>29</v>
      </c>
      <c r="I8" s="60">
        <f t="shared" si="2"/>
        <v>41</v>
      </c>
      <c r="J8" s="48">
        <v>16</v>
      </c>
      <c r="K8" s="48">
        <v>25</v>
      </c>
      <c r="L8" s="27">
        <v>23</v>
      </c>
      <c r="M8" s="27">
        <v>2</v>
      </c>
      <c r="N8" s="13">
        <v>15</v>
      </c>
      <c r="O8" s="13">
        <v>8</v>
      </c>
      <c r="P8" s="13">
        <v>0</v>
      </c>
      <c r="Q8" s="13">
        <v>2</v>
      </c>
      <c r="R8" s="88">
        <f>SUM(N8:Q8)</f>
        <v>25</v>
      </c>
      <c r="S8" s="17">
        <v>24</v>
      </c>
      <c r="T8" s="17">
        <v>1</v>
      </c>
      <c r="U8" s="17">
        <v>0</v>
      </c>
      <c r="V8" s="17">
        <v>0</v>
      </c>
      <c r="W8" s="88">
        <f>SUM(S8:V8)</f>
        <v>25</v>
      </c>
      <c r="X8" s="23">
        <v>23</v>
      </c>
      <c r="Y8" s="23">
        <v>2</v>
      </c>
      <c r="Z8" s="23">
        <v>0</v>
      </c>
      <c r="AA8" s="23">
        <v>0</v>
      </c>
      <c r="AB8" s="88">
        <f>SUM(X8:AA8)</f>
        <v>25</v>
      </c>
      <c r="AC8" s="27">
        <v>18</v>
      </c>
      <c r="AD8" s="27">
        <v>1</v>
      </c>
      <c r="AE8" s="27">
        <v>6</v>
      </c>
      <c r="AF8" s="88">
        <f>SUM(AC8:AE8)</f>
        <v>25</v>
      </c>
      <c r="AG8" s="35">
        <v>8</v>
      </c>
      <c r="AH8" s="34">
        <v>0</v>
      </c>
      <c r="AI8" s="35">
        <v>17</v>
      </c>
      <c r="AJ8" s="84">
        <f>SUM(AG8:AI8)</f>
        <v>25</v>
      </c>
    </row>
    <row r="9" spans="1:36" ht="18.5" x14ac:dyDescent="0.35">
      <c r="A9" s="3" t="s">
        <v>25</v>
      </c>
      <c r="B9" s="48">
        <v>6210</v>
      </c>
      <c r="C9" s="68">
        <f t="shared" si="0"/>
        <v>50</v>
      </c>
      <c r="D9" s="53">
        <v>43</v>
      </c>
      <c r="E9" s="53">
        <v>7</v>
      </c>
      <c r="F9" s="73">
        <f t="shared" si="1"/>
        <v>45</v>
      </c>
      <c r="G9" s="17">
        <v>6</v>
      </c>
      <c r="H9" s="17">
        <v>39</v>
      </c>
      <c r="I9" s="60">
        <f t="shared" si="2"/>
        <v>63</v>
      </c>
      <c r="J9" s="48">
        <v>42</v>
      </c>
      <c r="K9" s="48">
        <v>21</v>
      </c>
      <c r="L9" s="27">
        <v>20</v>
      </c>
      <c r="M9" s="27">
        <v>1</v>
      </c>
      <c r="N9" s="13">
        <v>12</v>
      </c>
      <c r="O9" s="13">
        <v>8</v>
      </c>
      <c r="P9" s="13">
        <v>0</v>
      </c>
      <c r="Q9" s="13">
        <v>1</v>
      </c>
      <c r="R9" s="88">
        <f>SUM(N9:Q9)</f>
        <v>21</v>
      </c>
      <c r="S9" s="17">
        <v>20</v>
      </c>
      <c r="T9" s="17">
        <v>1</v>
      </c>
      <c r="U9" s="17">
        <v>0</v>
      </c>
      <c r="V9" s="17">
        <v>0</v>
      </c>
      <c r="W9" s="88">
        <f>SUM(S9:V9)</f>
        <v>21</v>
      </c>
      <c r="X9" s="23">
        <v>20</v>
      </c>
      <c r="Y9" s="23">
        <v>1</v>
      </c>
      <c r="Z9" s="23">
        <v>0</v>
      </c>
      <c r="AA9" s="23">
        <v>0</v>
      </c>
      <c r="AB9" s="88">
        <f>SUM(X9:AA9)</f>
        <v>21</v>
      </c>
      <c r="AC9" s="27">
        <v>12</v>
      </c>
      <c r="AD9" s="27">
        <v>1</v>
      </c>
      <c r="AE9" s="27">
        <v>8</v>
      </c>
      <c r="AF9" s="88">
        <f>SUM(AC9:AE9)</f>
        <v>21</v>
      </c>
      <c r="AG9" s="35">
        <v>18</v>
      </c>
      <c r="AH9" s="34">
        <v>1</v>
      </c>
      <c r="AI9" s="35">
        <v>2</v>
      </c>
      <c r="AJ9" s="84">
        <f>SUM(AG9:AI9)</f>
        <v>21</v>
      </c>
    </row>
    <row r="10" spans="1:36" ht="18.5" x14ac:dyDescent="0.35">
      <c r="A10" s="3" t="s">
        <v>26</v>
      </c>
      <c r="B10" s="48">
        <v>588</v>
      </c>
      <c r="C10" s="68">
        <f t="shared" si="0"/>
        <v>77</v>
      </c>
      <c r="D10" s="53">
        <v>17</v>
      </c>
      <c r="E10" s="53">
        <v>60</v>
      </c>
      <c r="F10" s="73">
        <f t="shared" si="1"/>
        <v>5</v>
      </c>
      <c r="G10" s="17">
        <v>3</v>
      </c>
      <c r="H10" s="17">
        <v>2</v>
      </c>
      <c r="I10" s="60">
        <f t="shared" si="2"/>
        <v>2</v>
      </c>
      <c r="J10" s="48">
        <v>1</v>
      </c>
      <c r="K10" s="48">
        <v>1</v>
      </c>
      <c r="L10" s="27">
        <v>1</v>
      </c>
      <c r="M10" s="27">
        <v>0</v>
      </c>
      <c r="N10" s="13">
        <v>1</v>
      </c>
      <c r="O10" s="13">
        <v>0</v>
      </c>
      <c r="P10" s="13">
        <v>0</v>
      </c>
      <c r="Q10" s="13">
        <v>0</v>
      </c>
      <c r="R10" s="88">
        <f>SUM(N10:Q10)</f>
        <v>1</v>
      </c>
      <c r="S10" s="17">
        <v>1</v>
      </c>
      <c r="T10" s="17">
        <v>0</v>
      </c>
      <c r="U10" s="17">
        <v>0</v>
      </c>
      <c r="V10" s="17">
        <v>0</v>
      </c>
      <c r="W10" s="88">
        <f>SUM(S10:V10)</f>
        <v>1</v>
      </c>
      <c r="X10" s="23">
        <v>1</v>
      </c>
      <c r="Y10" s="23">
        <v>0</v>
      </c>
      <c r="Z10" s="23">
        <v>0</v>
      </c>
      <c r="AA10" s="23">
        <v>0</v>
      </c>
      <c r="AB10" s="88">
        <f>SUM(X10:AA10)</f>
        <v>1</v>
      </c>
      <c r="AC10" s="27">
        <v>1</v>
      </c>
      <c r="AD10" s="27">
        <v>0</v>
      </c>
      <c r="AE10" s="27">
        <v>0</v>
      </c>
      <c r="AF10" s="88">
        <f>SUM(AC10:AE10)</f>
        <v>1</v>
      </c>
      <c r="AG10" s="35">
        <v>1</v>
      </c>
      <c r="AH10" s="34">
        <v>0</v>
      </c>
      <c r="AI10" s="35">
        <v>0</v>
      </c>
      <c r="AJ10" s="84">
        <f>SUM(AG10:AI10)</f>
        <v>1</v>
      </c>
    </row>
    <row r="11" spans="1:36" s="45" customFormat="1" ht="18.5" x14ac:dyDescent="0.35">
      <c r="A11" s="41" t="s">
        <v>23</v>
      </c>
      <c r="B11" s="42">
        <f t="shared" ref="B11:AI11" si="3">SUM(B2:B10)</f>
        <v>1963897</v>
      </c>
      <c r="C11" s="42">
        <f t="shared" si="3"/>
        <v>35228</v>
      </c>
      <c r="D11" s="42">
        <f t="shared" si="3"/>
        <v>25240</v>
      </c>
      <c r="E11" s="42">
        <f t="shared" si="3"/>
        <v>9988</v>
      </c>
      <c r="F11" s="42">
        <f t="shared" si="3"/>
        <v>19561</v>
      </c>
      <c r="G11" s="42">
        <f t="shared" si="3"/>
        <v>7486</v>
      </c>
      <c r="H11" s="42">
        <f t="shared" si="3"/>
        <v>12075</v>
      </c>
      <c r="I11" s="42">
        <f t="shared" si="3"/>
        <v>52320</v>
      </c>
      <c r="J11" s="42">
        <f t="shared" si="3"/>
        <v>14933</v>
      </c>
      <c r="K11" s="42">
        <f t="shared" si="3"/>
        <v>37387</v>
      </c>
      <c r="L11" s="42">
        <f t="shared" si="3"/>
        <v>36559</v>
      </c>
      <c r="M11" s="42">
        <f t="shared" si="3"/>
        <v>828</v>
      </c>
      <c r="N11" s="42">
        <f t="shared" si="3"/>
        <v>18816</v>
      </c>
      <c r="O11" s="42">
        <f t="shared" si="3"/>
        <v>16802</v>
      </c>
      <c r="P11" s="42">
        <f t="shared" si="3"/>
        <v>941</v>
      </c>
      <c r="Q11" s="42">
        <f t="shared" si="3"/>
        <v>828</v>
      </c>
      <c r="R11" s="89">
        <f>SUM(R2:R10)</f>
        <v>37387</v>
      </c>
      <c r="S11" s="42">
        <f t="shared" si="3"/>
        <v>36740</v>
      </c>
      <c r="T11" s="42">
        <f t="shared" si="3"/>
        <v>368</v>
      </c>
      <c r="U11" s="42">
        <f>SUM(U2:U10)</f>
        <v>279</v>
      </c>
      <c r="V11" s="42">
        <f t="shared" si="3"/>
        <v>0</v>
      </c>
      <c r="W11" s="89">
        <f>SUM(W2:W10)</f>
        <v>37387</v>
      </c>
      <c r="X11" s="42">
        <f t="shared" si="3"/>
        <v>36720</v>
      </c>
      <c r="Y11" s="42">
        <f t="shared" si="3"/>
        <v>388</v>
      </c>
      <c r="Z11" s="42">
        <f>SUM(Z2:Z10)</f>
        <v>279</v>
      </c>
      <c r="AA11" s="42">
        <f t="shared" si="3"/>
        <v>0</v>
      </c>
      <c r="AB11" s="89">
        <f>SUM(AB2:AB10)</f>
        <v>37387</v>
      </c>
      <c r="AC11" s="42">
        <f t="shared" si="3"/>
        <v>12585</v>
      </c>
      <c r="AD11" s="42">
        <f t="shared" si="3"/>
        <v>560</v>
      </c>
      <c r="AE11" s="42">
        <f t="shared" si="3"/>
        <v>24242</v>
      </c>
      <c r="AF11" s="89">
        <f>SUM(AF2:AF10)</f>
        <v>37387</v>
      </c>
      <c r="AG11" s="43">
        <f t="shared" si="3"/>
        <v>32955</v>
      </c>
      <c r="AH11" s="44">
        <f t="shared" si="3"/>
        <v>558</v>
      </c>
      <c r="AI11" s="43">
        <f t="shared" si="3"/>
        <v>3874</v>
      </c>
      <c r="AJ11" s="86">
        <f>SUM(AJ2:AJ10)</f>
        <v>37387</v>
      </c>
    </row>
    <row r="12" spans="1:36" ht="18.5" x14ac:dyDescent="0.65">
      <c r="A12" s="3"/>
      <c r="B12" s="48"/>
      <c r="C12" s="68"/>
      <c r="D12" s="53"/>
      <c r="E12" s="53"/>
      <c r="F12" s="73"/>
      <c r="G12" s="17"/>
      <c r="H12" s="17"/>
      <c r="I12" s="60"/>
      <c r="J12" s="65"/>
      <c r="K12" s="65"/>
      <c r="L12" s="28"/>
      <c r="M12" s="28"/>
      <c r="N12" s="14"/>
      <c r="O12" s="14"/>
      <c r="P12" s="14"/>
      <c r="Q12" s="14"/>
      <c r="R12" s="81"/>
      <c r="S12" s="18"/>
      <c r="T12" s="18"/>
      <c r="U12" s="18">
        <v>279</v>
      </c>
      <c r="V12" s="18"/>
      <c r="W12" s="81"/>
      <c r="X12" s="22"/>
      <c r="Y12" s="22"/>
      <c r="Z12" s="22"/>
      <c r="AA12" s="23"/>
      <c r="AB12" s="80"/>
      <c r="AC12" s="27"/>
      <c r="AD12" s="27"/>
      <c r="AE12" s="27"/>
      <c r="AF12" s="80"/>
      <c r="AG12" s="35"/>
      <c r="AH12" s="34"/>
      <c r="AI12" s="35"/>
    </row>
    <row r="13" spans="1:36" ht="85" x14ac:dyDescent="0.35">
      <c r="A13" s="6" t="s">
        <v>55</v>
      </c>
      <c r="B13" s="47" t="s">
        <v>32</v>
      </c>
      <c r="C13" s="67" t="s">
        <v>36</v>
      </c>
      <c r="D13" s="52" t="s">
        <v>31</v>
      </c>
      <c r="E13" s="52" t="s">
        <v>30</v>
      </c>
      <c r="F13" s="72" t="s">
        <v>35</v>
      </c>
      <c r="G13" s="16" t="s">
        <v>33</v>
      </c>
      <c r="H13" s="16" t="s">
        <v>34</v>
      </c>
      <c r="I13" s="59" t="s">
        <v>27</v>
      </c>
      <c r="J13" s="64" t="s">
        <v>29</v>
      </c>
      <c r="K13" s="64" t="s">
        <v>28</v>
      </c>
      <c r="L13" s="11" t="s">
        <v>37</v>
      </c>
      <c r="M13" s="11" t="s">
        <v>38</v>
      </c>
      <c r="N13" s="6" t="s">
        <v>39</v>
      </c>
      <c r="O13" s="6" t="s">
        <v>40</v>
      </c>
      <c r="P13" s="6" t="s">
        <v>41</v>
      </c>
      <c r="Q13" s="6" t="s">
        <v>42</v>
      </c>
      <c r="R13" s="6" t="s">
        <v>23</v>
      </c>
      <c r="S13" s="16" t="s">
        <v>43</v>
      </c>
      <c r="T13" s="16" t="s">
        <v>44</v>
      </c>
      <c r="U13" s="16" t="s">
        <v>61</v>
      </c>
      <c r="V13" s="16" t="s">
        <v>45</v>
      </c>
      <c r="W13" s="7" t="s">
        <v>23</v>
      </c>
      <c r="X13" s="21" t="s">
        <v>46</v>
      </c>
      <c r="Y13" s="21" t="s">
        <v>47</v>
      </c>
      <c r="Z13" s="21" t="s">
        <v>62</v>
      </c>
      <c r="AA13" s="21" t="s">
        <v>48</v>
      </c>
      <c r="AB13" s="7" t="s">
        <v>23</v>
      </c>
      <c r="AC13" s="11" t="s">
        <v>49</v>
      </c>
      <c r="AD13" s="11" t="s">
        <v>50</v>
      </c>
      <c r="AE13" s="11" t="s">
        <v>51</v>
      </c>
      <c r="AF13" s="7" t="s">
        <v>23</v>
      </c>
      <c r="AG13" s="32" t="s">
        <v>52</v>
      </c>
      <c r="AH13" s="32" t="s">
        <v>53</v>
      </c>
      <c r="AI13" s="32" t="s">
        <v>54</v>
      </c>
      <c r="AJ13" s="6" t="s">
        <v>23</v>
      </c>
    </row>
    <row r="14" spans="1:36" ht="18.5" x14ac:dyDescent="0.65">
      <c r="A14" s="4" t="s">
        <v>56</v>
      </c>
      <c r="B14" s="48">
        <v>658620</v>
      </c>
      <c r="C14" s="79">
        <f>SUM(D14:E14)</f>
        <v>11856</v>
      </c>
      <c r="D14" s="53">
        <v>8181</v>
      </c>
      <c r="E14" s="53">
        <v>3675</v>
      </c>
      <c r="F14" s="73">
        <f>SUM(G14:H14)</f>
        <v>6501</v>
      </c>
      <c r="G14" s="17">
        <v>1400</v>
      </c>
      <c r="H14" s="17">
        <v>5101</v>
      </c>
      <c r="I14" s="60">
        <f>SUM(J14:K14)</f>
        <v>12688</v>
      </c>
      <c r="J14" s="65">
        <v>3942</v>
      </c>
      <c r="K14" s="65">
        <v>8746</v>
      </c>
      <c r="L14" s="28">
        <v>8553</v>
      </c>
      <c r="M14" s="28">
        <v>193</v>
      </c>
      <c r="N14" s="14">
        <v>4590</v>
      </c>
      <c r="O14" s="14">
        <v>3719</v>
      </c>
      <c r="P14" s="14">
        <v>244</v>
      </c>
      <c r="Q14" s="14">
        <v>193</v>
      </c>
      <c r="R14" s="87">
        <f>SUM(N14:Q14)</f>
        <v>8746</v>
      </c>
      <c r="S14" s="18">
        <v>8605</v>
      </c>
      <c r="T14" s="18">
        <v>82</v>
      </c>
      <c r="U14" s="18">
        <v>59</v>
      </c>
      <c r="V14" s="18">
        <v>0</v>
      </c>
      <c r="W14" s="87">
        <f>SUM(S14:V14)</f>
        <v>8746</v>
      </c>
      <c r="X14" s="22">
        <v>8601</v>
      </c>
      <c r="Y14" s="22">
        <v>86</v>
      </c>
      <c r="Z14" s="22">
        <v>59</v>
      </c>
      <c r="AA14" s="23">
        <v>0</v>
      </c>
      <c r="AB14" s="88">
        <f>SUM(X14:AA14)</f>
        <v>8746</v>
      </c>
      <c r="AC14" s="27">
        <v>2811</v>
      </c>
      <c r="AD14" s="27">
        <v>136</v>
      </c>
      <c r="AE14" s="27">
        <v>5799</v>
      </c>
      <c r="AF14" s="88">
        <f>SUM(AC14:AE14)</f>
        <v>8746</v>
      </c>
      <c r="AG14" s="35">
        <v>7655</v>
      </c>
      <c r="AH14" s="34">
        <v>148</v>
      </c>
      <c r="AI14" s="35">
        <v>943</v>
      </c>
      <c r="AJ14" s="84">
        <f>SUM(AG14:AI14)</f>
        <v>8746</v>
      </c>
    </row>
    <row r="15" spans="1:36" ht="18.5" x14ac:dyDescent="0.65">
      <c r="A15" s="3" t="s">
        <v>57</v>
      </c>
      <c r="B15" s="48">
        <v>637062</v>
      </c>
      <c r="C15" s="68">
        <f>SUM(D15:E15)</f>
        <v>9878</v>
      </c>
      <c r="D15" s="53">
        <v>7434</v>
      </c>
      <c r="E15" s="53">
        <v>2444</v>
      </c>
      <c r="F15" s="73">
        <f>SUM(G15:H15)</f>
        <v>5769</v>
      </c>
      <c r="G15" s="17">
        <v>2942</v>
      </c>
      <c r="H15" s="17">
        <v>2827</v>
      </c>
      <c r="I15" s="60">
        <f>SUM(J15:K15)</f>
        <v>21676</v>
      </c>
      <c r="J15" s="65">
        <v>6558</v>
      </c>
      <c r="K15" s="65">
        <v>15118</v>
      </c>
      <c r="L15" s="28">
        <v>14763</v>
      </c>
      <c r="M15" s="28">
        <v>355</v>
      </c>
      <c r="N15" s="14">
        <v>7794</v>
      </c>
      <c r="O15" s="14">
        <v>6644</v>
      </c>
      <c r="P15" s="14">
        <v>325</v>
      </c>
      <c r="Q15" s="14">
        <v>355</v>
      </c>
      <c r="R15" s="87">
        <f>SUM(N15:Q15)</f>
        <v>15118</v>
      </c>
      <c r="S15" s="18">
        <v>14847</v>
      </c>
      <c r="T15" s="18">
        <v>132</v>
      </c>
      <c r="U15" s="18">
        <v>139</v>
      </c>
      <c r="V15" s="18">
        <v>0</v>
      </c>
      <c r="W15" s="87">
        <f>SUM(S15:V15)</f>
        <v>15118</v>
      </c>
      <c r="X15" s="22">
        <v>14820</v>
      </c>
      <c r="Y15" s="22">
        <v>159</v>
      </c>
      <c r="Z15" s="22">
        <v>139</v>
      </c>
      <c r="AA15" s="23">
        <v>0</v>
      </c>
      <c r="AB15" s="88">
        <f>SUM(X15:AA15)</f>
        <v>15118</v>
      </c>
      <c r="AC15" s="27">
        <v>5166</v>
      </c>
      <c r="AD15" s="27">
        <v>221</v>
      </c>
      <c r="AE15" s="27">
        <v>9731</v>
      </c>
      <c r="AF15" s="88">
        <f>SUM(AC15:AE15)</f>
        <v>15118</v>
      </c>
      <c r="AG15" s="35">
        <v>13441</v>
      </c>
      <c r="AH15" s="34">
        <v>212</v>
      </c>
      <c r="AI15" s="35">
        <v>1465</v>
      </c>
      <c r="AJ15" s="84">
        <f>SUM(AG15:AI15)</f>
        <v>15118</v>
      </c>
    </row>
    <row r="16" spans="1:36" ht="18.5" x14ac:dyDescent="0.65">
      <c r="A16" s="3" t="s">
        <v>58</v>
      </c>
      <c r="B16" s="48">
        <v>347394</v>
      </c>
      <c r="C16" s="68">
        <f>SUM(D16:E16)</f>
        <v>6221</v>
      </c>
      <c r="D16" s="53">
        <v>4254</v>
      </c>
      <c r="E16" s="53">
        <v>1967</v>
      </c>
      <c r="F16" s="73">
        <f>SUM(G16:H16)</f>
        <v>3143</v>
      </c>
      <c r="G16" s="17">
        <v>1374</v>
      </c>
      <c r="H16" s="17">
        <v>1769</v>
      </c>
      <c r="I16" s="60">
        <f>SUM(J16:K16)</f>
        <v>7297</v>
      </c>
      <c r="J16" s="65">
        <v>1842</v>
      </c>
      <c r="K16" s="65">
        <v>5455</v>
      </c>
      <c r="L16" s="28">
        <v>5332</v>
      </c>
      <c r="M16" s="28">
        <v>123</v>
      </c>
      <c r="N16" s="14">
        <v>2475</v>
      </c>
      <c r="O16" s="14">
        <v>2700</v>
      </c>
      <c r="P16" s="14">
        <v>157</v>
      </c>
      <c r="Q16" s="14">
        <v>123</v>
      </c>
      <c r="R16" s="87">
        <f>SUM(N16:Q16)</f>
        <v>5455</v>
      </c>
      <c r="S16" s="18">
        <v>5360</v>
      </c>
      <c r="T16" s="18">
        <v>61</v>
      </c>
      <c r="U16" s="18">
        <v>34</v>
      </c>
      <c r="V16" s="18">
        <v>0</v>
      </c>
      <c r="W16" s="87">
        <f>SUM(S16:V16)</f>
        <v>5455</v>
      </c>
      <c r="X16" s="22">
        <v>5360</v>
      </c>
      <c r="Y16" s="22">
        <v>61</v>
      </c>
      <c r="Z16" s="22">
        <v>34</v>
      </c>
      <c r="AA16" s="23">
        <v>0</v>
      </c>
      <c r="AB16" s="88">
        <f>SUM(X16:AA16)</f>
        <v>5455</v>
      </c>
      <c r="AC16" s="27">
        <v>1643</v>
      </c>
      <c r="AD16" s="27">
        <v>88</v>
      </c>
      <c r="AE16" s="27">
        <v>3724</v>
      </c>
      <c r="AF16" s="88">
        <f>SUM(AC16:AE16)</f>
        <v>5455</v>
      </c>
      <c r="AG16" s="35">
        <v>4834</v>
      </c>
      <c r="AH16" s="34">
        <v>81</v>
      </c>
      <c r="AI16" s="35">
        <v>540</v>
      </c>
      <c r="AJ16" s="84">
        <f>SUM(AG16:AI16)</f>
        <v>5455</v>
      </c>
    </row>
    <row r="17" spans="1:36" ht="18.5" x14ac:dyDescent="0.65">
      <c r="A17" s="3" t="s">
        <v>59</v>
      </c>
      <c r="B17" s="48">
        <v>320752</v>
      </c>
      <c r="C17" s="68">
        <f>SUM(D17:E17)</f>
        <v>7273</v>
      </c>
      <c r="D17" s="53">
        <v>5371</v>
      </c>
      <c r="E17" s="53">
        <v>1902</v>
      </c>
      <c r="F17" s="73">
        <f>SUM(G17:H17)</f>
        <v>4148</v>
      </c>
      <c r="G17" s="17">
        <v>1770</v>
      </c>
      <c r="H17" s="17">
        <v>2378</v>
      </c>
      <c r="I17" s="60">
        <f>SUM(J17:K17)</f>
        <v>10655</v>
      </c>
      <c r="J17" s="65">
        <v>2587</v>
      </c>
      <c r="K17" s="65">
        <v>8068</v>
      </c>
      <c r="L17" s="28">
        <v>7911</v>
      </c>
      <c r="M17" s="28">
        <v>157</v>
      </c>
      <c r="N17" s="14">
        <v>3957</v>
      </c>
      <c r="O17" s="14">
        <v>3739</v>
      </c>
      <c r="P17" s="14">
        <v>215</v>
      </c>
      <c r="Q17" s="14">
        <v>157</v>
      </c>
      <c r="R17" s="87">
        <f>SUM(N17:Q17)</f>
        <v>8068</v>
      </c>
      <c r="S17" s="18">
        <v>7928</v>
      </c>
      <c r="T17" s="18">
        <v>93</v>
      </c>
      <c r="U17" s="18">
        <v>47</v>
      </c>
      <c r="V17" s="18">
        <v>0</v>
      </c>
      <c r="W17" s="87">
        <f>SUM(S17:V17)</f>
        <v>8068</v>
      </c>
      <c r="X17" s="22">
        <v>7939</v>
      </c>
      <c r="Y17" s="22">
        <v>82</v>
      </c>
      <c r="Z17" s="22">
        <v>47</v>
      </c>
      <c r="AA17" s="23">
        <v>0</v>
      </c>
      <c r="AB17" s="88">
        <f>SUM(X17:AA17)</f>
        <v>8068</v>
      </c>
      <c r="AC17" s="27">
        <v>2965</v>
      </c>
      <c r="AD17" s="27">
        <v>115</v>
      </c>
      <c r="AE17" s="27">
        <v>4988</v>
      </c>
      <c r="AF17" s="88">
        <f>SUM(AC17:AE17)</f>
        <v>8068</v>
      </c>
      <c r="AG17" s="35">
        <v>7025</v>
      </c>
      <c r="AH17" s="34">
        <v>117</v>
      </c>
      <c r="AI17" s="35">
        <v>926</v>
      </c>
      <c r="AJ17" s="84">
        <f>SUM(AG17:AI17)</f>
        <v>8068</v>
      </c>
    </row>
    <row r="18" spans="1:36" ht="24" x14ac:dyDescent="0.35">
      <c r="A18" s="77" t="s">
        <v>60</v>
      </c>
      <c r="B18" s="49">
        <v>69</v>
      </c>
      <c r="C18" s="69">
        <f>SUM(D18:E18)</f>
        <v>0</v>
      </c>
      <c r="D18" s="54">
        <v>0</v>
      </c>
      <c r="E18" s="54">
        <v>0</v>
      </c>
      <c r="F18" s="74">
        <f>SUM(G18:H18)</f>
        <v>0</v>
      </c>
      <c r="G18" s="57">
        <v>0</v>
      </c>
      <c r="H18" s="57">
        <v>0</v>
      </c>
      <c r="I18" s="61">
        <f>SUM(J18:K18)</f>
        <v>4</v>
      </c>
      <c r="J18" s="49">
        <v>4</v>
      </c>
      <c r="K18" s="49">
        <v>0</v>
      </c>
      <c r="L18" s="29">
        <v>0</v>
      </c>
      <c r="M18" s="29">
        <v>0</v>
      </c>
      <c r="N18" s="5">
        <v>0</v>
      </c>
      <c r="O18" s="5">
        <v>0</v>
      </c>
      <c r="P18" s="5">
        <v>0</v>
      </c>
      <c r="Q18" s="5">
        <v>0</v>
      </c>
      <c r="R18" s="90">
        <f>SUM(N18:Q18)</f>
        <v>0</v>
      </c>
      <c r="S18" s="57">
        <v>0</v>
      </c>
      <c r="T18" s="57">
        <v>0</v>
      </c>
      <c r="U18" s="57"/>
      <c r="V18" s="57">
        <v>0</v>
      </c>
      <c r="W18" s="90">
        <f>SUM(S18:V18)</f>
        <v>0</v>
      </c>
      <c r="X18" s="25">
        <v>0</v>
      </c>
      <c r="Y18" s="25">
        <v>0</v>
      </c>
      <c r="Z18" s="25"/>
      <c r="AA18" s="25">
        <v>0</v>
      </c>
      <c r="AB18" s="90">
        <f>SUM(X18:AA18)</f>
        <v>0</v>
      </c>
      <c r="AC18" s="29">
        <v>0</v>
      </c>
      <c r="AD18" s="29">
        <v>0</v>
      </c>
      <c r="AE18" s="29">
        <v>0</v>
      </c>
      <c r="AF18" s="90">
        <f>SUM(AC18:AE18)</f>
        <v>0</v>
      </c>
      <c r="AG18" s="36">
        <v>0</v>
      </c>
      <c r="AH18" s="37">
        <v>0</v>
      </c>
      <c r="AI18" s="36">
        <v>0</v>
      </c>
      <c r="AJ18" s="91">
        <f>SUM(AG18:AI18)</f>
        <v>0</v>
      </c>
    </row>
    <row r="19" spans="1:36" s="78" customFormat="1" ht="18.5" x14ac:dyDescent="0.65">
      <c r="A19" s="41" t="s">
        <v>23</v>
      </c>
      <c r="B19" s="102">
        <f>SUM(B14:B18)</f>
        <v>1963897</v>
      </c>
      <c r="C19" s="102">
        <f>SUM(C14:C18)</f>
        <v>35228</v>
      </c>
      <c r="D19" s="102">
        <f>SUM(D14:D18)</f>
        <v>25240</v>
      </c>
      <c r="E19" s="102">
        <f>SUM(E14:E18)</f>
        <v>9988</v>
      </c>
      <c r="F19" s="102">
        <f>SUM(F14:F18)</f>
        <v>19561</v>
      </c>
      <c r="G19" s="102">
        <f>SUM(G14:G18)</f>
        <v>7486</v>
      </c>
      <c r="H19" s="102">
        <f>SUM(H14:H18)</f>
        <v>12075</v>
      </c>
      <c r="I19" s="102">
        <f>SUM(I14:I18)</f>
        <v>52320</v>
      </c>
      <c r="J19" s="103">
        <f>SUM(J14:J18)</f>
        <v>14933</v>
      </c>
      <c r="K19" s="103">
        <f>SUM(K14:K18)</f>
        <v>37387</v>
      </c>
      <c r="L19" s="103">
        <f>SUM(L14:L18)</f>
        <v>36559</v>
      </c>
      <c r="M19" s="103">
        <f>SUM(M14:M18)</f>
        <v>828</v>
      </c>
      <c r="N19" s="103">
        <f>SUM(N14:N18)</f>
        <v>18816</v>
      </c>
      <c r="O19" s="103">
        <f>SUM(O14:O18)</f>
        <v>16802</v>
      </c>
      <c r="P19" s="103">
        <f>SUM(P14:P18)</f>
        <v>941</v>
      </c>
      <c r="Q19" s="103">
        <f>SUM(Q14:Q18)</f>
        <v>828</v>
      </c>
      <c r="R19" s="92">
        <f>SUM(R14:R18)</f>
        <v>37387</v>
      </c>
      <c r="S19" s="103">
        <f>SUM(S14:S18)</f>
        <v>36740</v>
      </c>
      <c r="T19" s="103">
        <f>SUM(T14:T18)</f>
        <v>368</v>
      </c>
      <c r="U19" s="103">
        <f>SUM(U14:U18)</f>
        <v>279</v>
      </c>
      <c r="V19" s="103">
        <f>SUM(V14:V18)</f>
        <v>0</v>
      </c>
      <c r="W19" s="92">
        <f>SUM(W14:W18)</f>
        <v>37387</v>
      </c>
      <c r="X19" s="103">
        <f>SUM(X14:X18)</f>
        <v>36720</v>
      </c>
      <c r="Y19" s="103">
        <f>SUM(Y14:Y18)</f>
        <v>388</v>
      </c>
      <c r="Z19" s="103">
        <f>SUM(Z14:Z18)</f>
        <v>279</v>
      </c>
      <c r="AA19" s="102">
        <f>SUM(AA14:AA18)</f>
        <v>0</v>
      </c>
      <c r="AB19" s="93">
        <f>SUM(AB14:AB18)</f>
        <v>37387</v>
      </c>
      <c r="AC19" s="102">
        <f>SUM(AC14:AC18)</f>
        <v>12585</v>
      </c>
      <c r="AD19" s="102">
        <f>SUM(AD14:AD18)</f>
        <v>560</v>
      </c>
      <c r="AE19" s="102">
        <f>SUM(AE14:AE18)</f>
        <v>24242</v>
      </c>
      <c r="AF19" s="93">
        <f>SUM(AF14:AF18)</f>
        <v>37387</v>
      </c>
      <c r="AG19" s="104">
        <f>SUM(AG14:AG18)</f>
        <v>32955</v>
      </c>
      <c r="AH19" s="105">
        <f>SUM(AH14:AH18)</f>
        <v>558</v>
      </c>
      <c r="AI19" s="104">
        <f>SUM(AI14:AI18)</f>
        <v>3874</v>
      </c>
      <c r="AJ19" s="86">
        <f>SUM(AJ14:AJ18)</f>
        <v>37387</v>
      </c>
    </row>
    <row r="20" spans="1:36" ht="18.5" x14ac:dyDescent="0.65">
      <c r="A20" s="3"/>
      <c r="B20" s="49"/>
      <c r="C20" s="69"/>
      <c r="D20" s="54"/>
      <c r="E20" s="54"/>
      <c r="F20" s="74"/>
      <c r="G20" s="57"/>
      <c r="H20" s="57"/>
      <c r="I20" s="61"/>
      <c r="J20" s="66"/>
      <c r="K20" s="66"/>
      <c r="L20" s="30"/>
      <c r="M20" s="30"/>
      <c r="N20" s="12"/>
      <c r="O20" s="12"/>
      <c r="P20" s="12"/>
      <c r="Q20" s="12"/>
      <c r="R20" s="83"/>
      <c r="S20" s="19"/>
      <c r="T20" s="19"/>
      <c r="U20" s="19"/>
      <c r="V20" s="19"/>
      <c r="W20" s="83"/>
      <c r="X20" s="24"/>
      <c r="Y20" s="24"/>
      <c r="Z20" s="24"/>
      <c r="AA20" s="25"/>
      <c r="AB20" s="82"/>
      <c r="AC20" s="29"/>
      <c r="AD20" s="29"/>
      <c r="AE20" s="29"/>
      <c r="AF20" s="82"/>
      <c r="AG20" s="36"/>
      <c r="AH20" s="37"/>
      <c r="AI20" s="36"/>
    </row>
    <row r="21" spans="1:36" ht="18.5" x14ac:dyDescent="0.65">
      <c r="A21" s="3"/>
      <c r="B21" s="49"/>
      <c r="C21" s="69"/>
      <c r="D21" s="54"/>
      <c r="E21" s="54"/>
      <c r="F21" s="74"/>
      <c r="G21" s="57"/>
      <c r="H21" s="57"/>
      <c r="I21" s="61"/>
      <c r="J21" s="66"/>
      <c r="K21" s="66"/>
      <c r="L21" s="30"/>
      <c r="M21" s="30"/>
      <c r="N21" s="12"/>
      <c r="O21" s="12"/>
      <c r="P21" s="12"/>
      <c r="Q21" s="12"/>
      <c r="R21" s="83"/>
      <c r="S21" s="19"/>
      <c r="T21" s="19"/>
      <c r="U21" s="19"/>
      <c r="V21" s="19"/>
      <c r="W21" s="83"/>
      <c r="X21" s="24"/>
      <c r="Y21" s="24"/>
      <c r="Z21" s="24"/>
      <c r="AA21" s="24"/>
      <c r="AB21" s="83"/>
      <c r="AC21" s="30"/>
      <c r="AD21" s="30"/>
      <c r="AE21" s="30"/>
      <c r="AF21" s="83"/>
      <c r="AG21" s="38"/>
      <c r="AH21" s="39"/>
      <c r="AI21" s="38"/>
    </row>
    <row r="22" spans="1:36" ht="18.5" x14ac:dyDescent="0.65">
      <c r="A22" s="2"/>
      <c r="B22" s="49"/>
      <c r="C22" s="69"/>
      <c r="D22" s="54"/>
      <c r="E22" s="54"/>
      <c r="F22" s="74"/>
      <c r="G22" s="57"/>
      <c r="H22" s="57"/>
      <c r="I22" s="61"/>
      <c r="J22" s="66"/>
      <c r="K22" s="66"/>
      <c r="L22" s="30"/>
      <c r="M22" s="30"/>
      <c r="N22" s="12"/>
      <c r="O22" s="12"/>
      <c r="P22" s="12"/>
      <c r="Q22" s="12"/>
      <c r="R22" s="83"/>
      <c r="S22" s="19"/>
      <c r="T22" s="19"/>
      <c r="U22" s="19"/>
      <c r="V22" s="19"/>
      <c r="W22" s="83"/>
      <c r="X22" s="24"/>
      <c r="Y22" s="24"/>
      <c r="Z22" s="24"/>
      <c r="AA22" s="24"/>
      <c r="AB22" s="83"/>
      <c r="AC22" s="30"/>
      <c r="AD22" s="30"/>
      <c r="AE22" s="30"/>
      <c r="AF22" s="83"/>
      <c r="AG22" s="38"/>
      <c r="AH22" s="39"/>
      <c r="AI22" s="38"/>
    </row>
    <row r="23" spans="1:36" ht="18.5" x14ac:dyDescent="0.65">
      <c r="A23" s="2"/>
      <c r="B23" s="49"/>
      <c r="C23" s="69"/>
      <c r="D23" s="54"/>
      <c r="E23" s="54"/>
      <c r="F23" s="74"/>
      <c r="G23" s="57"/>
      <c r="H23" s="57"/>
      <c r="I23" s="61"/>
      <c r="J23" s="66"/>
      <c r="K23" s="66"/>
      <c r="L23" s="30"/>
      <c r="M23" s="30"/>
      <c r="N23" s="12"/>
      <c r="O23" s="12"/>
      <c r="P23" s="12"/>
      <c r="Q23" s="12"/>
      <c r="R23" s="83"/>
      <c r="S23" s="19"/>
      <c r="T23" s="19"/>
      <c r="U23" s="19"/>
      <c r="V23" s="19"/>
      <c r="W23" s="83"/>
      <c r="X23" s="24"/>
      <c r="Y23" s="24"/>
      <c r="Z23" s="24"/>
      <c r="AA23" s="24"/>
      <c r="AB23" s="83"/>
      <c r="AC23" s="30"/>
      <c r="AD23" s="30"/>
      <c r="AE23" s="30"/>
      <c r="AF23" s="83"/>
      <c r="AG23" s="38"/>
      <c r="AH23" s="39"/>
      <c r="AI23" s="38"/>
    </row>
    <row r="24" spans="1:36" ht="18.5" x14ac:dyDescent="0.65">
      <c r="A24" s="2"/>
      <c r="B24" s="49"/>
      <c r="C24" s="69"/>
      <c r="D24" s="54"/>
      <c r="E24" s="54"/>
      <c r="F24" s="74"/>
      <c r="G24" s="57"/>
      <c r="H24" s="57"/>
      <c r="I24" s="61"/>
      <c r="J24" s="66"/>
      <c r="K24" s="66"/>
      <c r="L24" s="30"/>
      <c r="M24" s="30"/>
      <c r="N24" s="12"/>
      <c r="O24" s="12"/>
      <c r="P24" s="12"/>
      <c r="Q24" s="12"/>
      <c r="R24" s="83"/>
      <c r="S24" s="19"/>
      <c r="T24" s="19"/>
      <c r="U24" s="19"/>
      <c r="V24" s="19"/>
      <c r="W24" s="83"/>
      <c r="X24" s="24"/>
      <c r="Y24" s="24"/>
      <c r="Z24" s="24"/>
      <c r="AA24" s="24"/>
      <c r="AB24" s="83"/>
      <c r="AC24" s="30"/>
      <c r="AD24" s="30"/>
      <c r="AE24" s="30"/>
      <c r="AF24" s="83"/>
      <c r="AG24" s="38"/>
      <c r="AH24" s="39"/>
      <c r="AI24" s="38"/>
    </row>
    <row r="25" spans="1:36" ht="18.5" x14ac:dyDescent="0.65">
      <c r="A25" s="2"/>
      <c r="B25" s="49"/>
      <c r="C25" s="69"/>
      <c r="D25" s="54"/>
      <c r="E25" s="54"/>
      <c r="F25" s="74"/>
      <c r="G25" s="57"/>
      <c r="H25" s="57"/>
      <c r="I25" s="61"/>
      <c r="J25" s="66"/>
      <c r="K25" s="66"/>
      <c r="L25" s="30"/>
      <c r="M25" s="30"/>
      <c r="N25" s="12"/>
      <c r="O25" s="12"/>
      <c r="P25" s="12"/>
      <c r="Q25" s="12"/>
      <c r="R25" s="83"/>
      <c r="S25" s="19"/>
      <c r="T25" s="19"/>
      <c r="U25" s="19"/>
      <c r="V25" s="19"/>
      <c r="W25" s="83"/>
      <c r="X25" s="24"/>
      <c r="Y25" s="24"/>
      <c r="Z25" s="24"/>
      <c r="AA25" s="24"/>
      <c r="AB25" s="83"/>
      <c r="AC25" s="30"/>
      <c r="AD25" s="30"/>
      <c r="AE25" s="30"/>
      <c r="AF25" s="83"/>
      <c r="AG25" s="38"/>
      <c r="AH25" s="39"/>
      <c r="AI25" s="38"/>
    </row>
    <row r="26" spans="1:36" ht="18.5" x14ac:dyDescent="0.65">
      <c r="A26" s="2"/>
      <c r="B26" s="49"/>
      <c r="C26" s="69"/>
      <c r="D26" s="54"/>
      <c r="E26" s="54"/>
      <c r="F26" s="74"/>
      <c r="G26" s="57"/>
      <c r="H26" s="57"/>
      <c r="I26" s="61"/>
      <c r="J26" s="66"/>
      <c r="K26" s="66"/>
      <c r="L26" s="30"/>
      <c r="M26" s="30"/>
      <c r="N26" s="12"/>
      <c r="O26" s="12"/>
      <c r="P26" s="12"/>
      <c r="Q26" s="12"/>
      <c r="R26" s="83"/>
      <c r="S26" s="19"/>
      <c r="T26" s="19"/>
      <c r="U26" s="19"/>
      <c r="V26" s="19"/>
      <c r="W26" s="83"/>
      <c r="X26" s="24"/>
      <c r="Y26" s="24"/>
      <c r="Z26" s="24"/>
      <c r="AA26" s="24"/>
      <c r="AB26" s="83"/>
      <c r="AC26" s="30"/>
      <c r="AD26" s="30"/>
      <c r="AE26" s="30"/>
      <c r="AF26" s="83"/>
      <c r="AG26" s="38"/>
      <c r="AH26" s="39"/>
      <c r="AI26" s="38"/>
    </row>
    <row r="27" spans="1:36" ht="18.5" x14ac:dyDescent="0.65">
      <c r="A27" s="2"/>
      <c r="B27" s="49"/>
      <c r="C27" s="69"/>
      <c r="D27" s="54"/>
      <c r="E27" s="54"/>
      <c r="F27" s="74"/>
      <c r="G27" s="57"/>
      <c r="H27" s="57"/>
      <c r="I27" s="61"/>
      <c r="J27" s="66"/>
      <c r="K27" s="66"/>
      <c r="L27" s="30"/>
      <c r="M27" s="30"/>
      <c r="N27" s="12"/>
      <c r="O27" s="12"/>
      <c r="P27" s="12"/>
      <c r="Q27" s="12"/>
      <c r="R27" s="83"/>
      <c r="S27" s="19"/>
      <c r="T27" s="19"/>
      <c r="U27" s="19"/>
      <c r="V27" s="19"/>
      <c r="W27" s="83"/>
      <c r="X27" s="24"/>
      <c r="Y27" s="24"/>
      <c r="Z27" s="24"/>
      <c r="AA27" s="24"/>
      <c r="AB27" s="83"/>
      <c r="AC27" s="30"/>
      <c r="AD27" s="30"/>
      <c r="AE27" s="30"/>
      <c r="AF27" s="83"/>
      <c r="AG27" s="38"/>
      <c r="AH27" s="39"/>
      <c r="AI27" s="38"/>
    </row>
    <row r="28" spans="1:36" ht="18.5" x14ac:dyDescent="0.65">
      <c r="A28" s="2"/>
      <c r="B28" s="49"/>
      <c r="C28" s="69"/>
      <c r="D28" s="54"/>
      <c r="E28" s="54"/>
      <c r="F28" s="74"/>
      <c r="G28" s="57"/>
      <c r="H28" s="57"/>
      <c r="I28" s="61"/>
      <c r="J28" s="66"/>
      <c r="K28" s="66"/>
      <c r="L28" s="30"/>
      <c r="M28" s="30"/>
      <c r="N28" s="12"/>
      <c r="O28" s="12"/>
      <c r="P28" s="12"/>
      <c r="Q28" s="12"/>
      <c r="R28" s="83"/>
      <c r="S28" s="19"/>
      <c r="T28" s="19"/>
      <c r="U28" s="19"/>
      <c r="V28" s="19"/>
      <c r="W28" s="83"/>
      <c r="X28" s="24"/>
      <c r="Y28" s="24"/>
      <c r="Z28" s="24"/>
      <c r="AA28" s="24"/>
      <c r="AB28" s="83"/>
      <c r="AC28" s="30"/>
      <c r="AD28" s="30"/>
      <c r="AE28" s="30"/>
      <c r="AF28" s="83"/>
      <c r="AG28" s="38"/>
      <c r="AH28" s="39"/>
      <c r="AI28" s="38"/>
    </row>
    <row r="29" spans="1:36" ht="18.5" x14ac:dyDescent="0.65">
      <c r="A29" s="2"/>
      <c r="B29" s="49"/>
      <c r="C29" s="69"/>
      <c r="D29" s="54"/>
      <c r="E29" s="54"/>
      <c r="F29" s="74"/>
      <c r="G29" s="57"/>
      <c r="H29" s="57"/>
      <c r="I29" s="61"/>
      <c r="J29" s="66"/>
      <c r="K29" s="66"/>
      <c r="L29" s="30"/>
      <c r="M29" s="30"/>
      <c r="N29" s="12"/>
      <c r="O29" s="12"/>
      <c r="P29" s="12"/>
      <c r="Q29" s="12"/>
      <c r="R29" s="83"/>
      <c r="S29" s="19"/>
      <c r="T29" s="19"/>
      <c r="U29" s="19"/>
      <c r="V29" s="19"/>
      <c r="W29" s="83"/>
      <c r="X29" s="24"/>
      <c r="Y29" s="24"/>
      <c r="Z29" s="24"/>
      <c r="AA29" s="24"/>
      <c r="AB29" s="83"/>
      <c r="AC29" s="30"/>
      <c r="AD29" s="30"/>
      <c r="AE29" s="30"/>
      <c r="AF29" s="83"/>
      <c r="AG29" s="38"/>
      <c r="AH29" s="39"/>
      <c r="AI29" s="38"/>
    </row>
    <row r="30" spans="1:36" ht="18.5" x14ac:dyDescent="0.65">
      <c r="A30" s="2"/>
      <c r="B30" s="49"/>
      <c r="C30" s="69"/>
      <c r="D30" s="54"/>
      <c r="E30" s="54"/>
      <c r="F30" s="74"/>
      <c r="G30" s="57"/>
      <c r="H30" s="57"/>
      <c r="I30" s="61"/>
      <c r="J30" s="66"/>
      <c r="K30" s="66"/>
      <c r="L30" s="30"/>
      <c r="M30" s="30"/>
      <c r="N30" s="12"/>
      <c r="O30" s="12"/>
      <c r="P30" s="12"/>
      <c r="Q30" s="12"/>
      <c r="R30" s="83"/>
      <c r="S30" s="19"/>
      <c r="T30" s="19"/>
      <c r="U30" s="19"/>
      <c r="V30" s="19"/>
      <c r="W30" s="83"/>
      <c r="X30" s="24"/>
      <c r="Y30" s="24"/>
      <c r="Z30" s="24"/>
      <c r="AA30" s="24"/>
      <c r="AB30" s="83"/>
      <c r="AC30" s="30"/>
      <c r="AD30" s="30"/>
      <c r="AE30" s="30"/>
      <c r="AF30" s="83"/>
      <c r="AG30" s="38"/>
      <c r="AH30" s="39"/>
      <c r="AI30" s="38"/>
    </row>
    <row r="31" spans="1:36" ht="18.5" x14ac:dyDescent="0.65">
      <c r="A31" s="2"/>
      <c r="B31" s="49"/>
      <c r="C31" s="69"/>
      <c r="D31" s="54"/>
      <c r="E31" s="54"/>
      <c r="F31" s="74"/>
      <c r="G31" s="57"/>
      <c r="H31" s="57"/>
      <c r="I31" s="61"/>
      <c r="J31" s="66"/>
      <c r="K31" s="66"/>
      <c r="L31" s="30"/>
      <c r="M31" s="30"/>
      <c r="N31" s="12"/>
      <c r="O31" s="12"/>
      <c r="P31" s="12"/>
      <c r="Q31" s="12"/>
      <c r="R31" s="83"/>
      <c r="S31" s="19"/>
      <c r="T31" s="19"/>
      <c r="U31" s="19"/>
      <c r="V31" s="19"/>
      <c r="W31" s="83"/>
      <c r="X31" s="24"/>
      <c r="Y31" s="24"/>
      <c r="Z31" s="24"/>
      <c r="AA31" s="24"/>
      <c r="AB31" s="83"/>
      <c r="AC31" s="30"/>
      <c r="AD31" s="30"/>
      <c r="AE31" s="30"/>
      <c r="AF31" s="83"/>
      <c r="AG31" s="38"/>
      <c r="AH31" s="39"/>
      <c r="AI31" s="38"/>
    </row>
    <row r="32" spans="1:36" ht="18.5" x14ac:dyDescent="0.65">
      <c r="A32" s="2"/>
      <c r="B32" s="49"/>
      <c r="C32" s="69"/>
      <c r="D32" s="54"/>
      <c r="E32" s="54"/>
      <c r="F32" s="74"/>
      <c r="G32" s="57"/>
      <c r="H32" s="57"/>
      <c r="I32" s="61"/>
      <c r="J32" s="66"/>
      <c r="K32" s="66"/>
      <c r="L32" s="30"/>
      <c r="M32" s="30"/>
      <c r="N32" s="12"/>
      <c r="O32" s="12"/>
      <c r="P32" s="12"/>
      <c r="Q32" s="12"/>
      <c r="R32" s="83"/>
      <c r="S32" s="19"/>
      <c r="T32" s="19"/>
      <c r="U32" s="19"/>
      <c r="V32" s="19"/>
      <c r="W32" s="83"/>
      <c r="X32" s="24"/>
      <c r="Y32" s="24"/>
      <c r="Z32" s="24"/>
      <c r="AA32" s="24"/>
      <c r="AB32" s="83"/>
      <c r="AC32" s="30"/>
      <c r="AD32" s="30"/>
      <c r="AE32" s="30"/>
      <c r="AF32" s="83"/>
      <c r="AG32" s="38"/>
      <c r="AH32" s="39"/>
      <c r="AI32" s="38"/>
    </row>
    <row r="33" spans="1:35" ht="18.5" x14ac:dyDescent="0.65">
      <c r="A33" s="2"/>
      <c r="B33" s="49"/>
      <c r="C33" s="69"/>
      <c r="D33" s="54"/>
      <c r="E33" s="54"/>
      <c r="F33" s="74"/>
      <c r="G33" s="57"/>
      <c r="H33" s="57"/>
      <c r="I33" s="61"/>
      <c r="J33" s="66"/>
      <c r="K33" s="66"/>
      <c r="L33" s="30"/>
      <c r="M33" s="30"/>
      <c r="N33" s="12"/>
      <c r="O33" s="12"/>
      <c r="P33" s="12"/>
      <c r="Q33" s="12"/>
      <c r="R33" s="83"/>
      <c r="S33" s="19"/>
      <c r="T33" s="19"/>
      <c r="U33" s="19"/>
      <c r="V33" s="19"/>
      <c r="W33" s="83"/>
      <c r="X33" s="24"/>
      <c r="Y33" s="24"/>
      <c r="Z33" s="24"/>
      <c r="AA33" s="24"/>
      <c r="AB33" s="83"/>
      <c r="AC33" s="30"/>
      <c r="AD33" s="30"/>
      <c r="AE33" s="30"/>
      <c r="AF33" s="83"/>
      <c r="AG33" s="38"/>
      <c r="AH33" s="39"/>
      <c r="AI33" s="38"/>
    </row>
    <row r="34" spans="1:35" ht="18.5" x14ac:dyDescent="0.65">
      <c r="A34" s="2"/>
      <c r="B34" s="49"/>
      <c r="C34" s="69"/>
      <c r="D34" s="54"/>
      <c r="E34" s="54"/>
      <c r="F34" s="74"/>
      <c r="G34" s="57"/>
      <c r="H34" s="57"/>
      <c r="I34" s="61"/>
      <c r="J34" s="66"/>
      <c r="K34" s="66"/>
      <c r="L34" s="30"/>
      <c r="M34" s="30"/>
      <c r="N34" s="12"/>
      <c r="O34" s="12"/>
      <c r="P34" s="12"/>
      <c r="Q34" s="12"/>
      <c r="R34" s="83"/>
      <c r="S34" s="19"/>
      <c r="T34" s="19"/>
      <c r="U34" s="19"/>
      <c r="V34" s="19"/>
      <c r="W34" s="83"/>
      <c r="X34" s="24"/>
      <c r="Y34" s="24"/>
      <c r="Z34" s="24"/>
      <c r="AA34" s="24"/>
      <c r="AB34" s="83"/>
      <c r="AC34" s="30"/>
      <c r="AD34" s="30"/>
      <c r="AE34" s="30"/>
      <c r="AF34" s="83"/>
      <c r="AG34" s="38"/>
      <c r="AH34" s="39"/>
      <c r="AI34" s="38"/>
    </row>
    <row r="35" spans="1:35" ht="18.5" x14ac:dyDescent="0.65">
      <c r="A35" s="2"/>
      <c r="B35" s="49"/>
      <c r="C35" s="69"/>
      <c r="D35" s="54"/>
      <c r="E35" s="54"/>
      <c r="F35" s="74"/>
      <c r="G35" s="57"/>
      <c r="H35" s="57"/>
      <c r="I35" s="61"/>
      <c r="J35" s="66"/>
      <c r="K35" s="66"/>
      <c r="L35" s="30"/>
      <c r="M35" s="30"/>
      <c r="N35" s="12"/>
      <c r="O35" s="12"/>
      <c r="P35" s="12"/>
      <c r="Q35" s="12"/>
      <c r="R35" s="83"/>
      <c r="S35" s="19"/>
      <c r="T35" s="19"/>
      <c r="U35" s="19"/>
      <c r="V35" s="19"/>
      <c r="W35" s="83"/>
      <c r="X35" s="24"/>
      <c r="Y35" s="24"/>
      <c r="Z35" s="24"/>
      <c r="AA35" s="24"/>
      <c r="AB35" s="83"/>
      <c r="AC35" s="30"/>
      <c r="AD35" s="30"/>
      <c r="AE35" s="30"/>
      <c r="AF35" s="83"/>
      <c r="AG35" s="38"/>
      <c r="AH35" s="39"/>
      <c r="AI35" s="38"/>
    </row>
    <row r="36" spans="1:35" ht="18.5" x14ac:dyDescent="0.65">
      <c r="A36" s="2"/>
      <c r="B36" s="49"/>
      <c r="C36" s="69"/>
      <c r="D36" s="54"/>
      <c r="E36" s="54"/>
      <c r="F36" s="74"/>
      <c r="G36" s="57"/>
      <c r="H36" s="57"/>
      <c r="I36" s="61"/>
      <c r="J36" s="66"/>
      <c r="K36" s="66"/>
      <c r="L36" s="30"/>
      <c r="M36" s="30"/>
      <c r="N36" s="12"/>
      <c r="O36" s="12"/>
      <c r="P36" s="12"/>
      <c r="Q36" s="12"/>
      <c r="R36" s="83"/>
      <c r="S36" s="19"/>
      <c r="T36" s="19"/>
      <c r="U36" s="19"/>
      <c r="V36" s="19"/>
      <c r="W36" s="83"/>
      <c r="X36" s="24"/>
      <c r="Y36" s="24"/>
      <c r="Z36" s="24"/>
      <c r="AA36" s="24"/>
      <c r="AB36" s="83"/>
      <c r="AC36" s="30"/>
      <c r="AD36" s="30"/>
      <c r="AE36" s="30"/>
      <c r="AF36" s="83"/>
      <c r="AG36" s="38"/>
      <c r="AH36" s="39"/>
      <c r="AI36" s="38"/>
    </row>
    <row r="37" spans="1:35" ht="18.5" x14ac:dyDescent="0.65">
      <c r="A37" s="2"/>
      <c r="B37" s="49"/>
      <c r="C37" s="69"/>
      <c r="D37" s="54"/>
      <c r="E37" s="54"/>
      <c r="F37" s="74"/>
      <c r="G37" s="57"/>
      <c r="H37" s="57"/>
      <c r="I37" s="61"/>
      <c r="J37" s="66"/>
      <c r="K37" s="66"/>
      <c r="L37" s="30"/>
      <c r="M37" s="30"/>
      <c r="N37" s="12"/>
      <c r="O37" s="12"/>
      <c r="P37" s="12"/>
      <c r="Q37" s="12"/>
      <c r="R37" s="83"/>
      <c r="S37" s="19"/>
      <c r="T37" s="19"/>
      <c r="U37" s="19"/>
      <c r="V37" s="19"/>
      <c r="W37" s="83"/>
      <c r="X37" s="24"/>
      <c r="Y37" s="24"/>
      <c r="Z37" s="24"/>
      <c r="AA37" s="24"/>
      <c r="AB37" s="83"/>
      <c r="AC37" s="30"/>
      <c r="AD37" s="30"/>
      <c r="AE37" s="30"/>
      <c r="AF37" s="83"/>
      <c r="AG37" s="38"/>
      <c r="AH37" s="39"/>
      <c r="AI37" s="38"/>
    </row>
    <row r="38" spans="1:35" ht="18.5" x14ac:dyDescent="0.65">
      <c r="A38" s="2"/>
      <c r="B38" s="49"/>
      <c r="C38" s="69"/>
      <c r="D38" s="54"/>
      <c r="E38" s="54"/>
      <c r="F38" s="74"/>
      <c r="G38" s="57"/>
      <c r="H38" s="57"/>
      <c r="I38" s="61"/>
      <c r="J38" s="66"/>
      <c r="K38" s="66"/>
      <c r="L38" s="30"/>
      <c r="M38" s="30"/>
      <c r="N38" s="12"/>
      <c r="O38" s="12"/>
      <c r="P38" s="12"/>
      <c r="Q38" s="12"/>
      <c r="R38" s="83"/>
      <c r="S38" s="19"/>
      <c r="T38" s="19"/>
      <c r="U38" s="19"/>
      <c r="V38" s="19"/>
      <c r="W38" s="83"/>
      <c r="X38" s="24"/>
      <c r="Y38" s="24"/>
      <c r="Z38" s="24"/>
      <c r="AA38" s="24"/>
      <c r="AB38" s="83"/>
      <c r="AC38" s="30"/>
      <c r="AD38" s="30"/>
      <c r="AE38" s="30"/>
      <c r="AF38" s="83"/>
      <c r="AG38" s="38"/>
      <c r="AH38" s="39"/>
      <c r="AI38" s="38"/>
    </row>
    <row r="39" spans="1:35" ht="18.5" x14ac:dyDescent="0.65">
      <c r="A39" s="2"/>
      <c r="B39" s="49"/>
      <c r="C39" s="69"/>
      <c r="D39" s="54"/>
      <c r="E39" s="54"/>
      <c r="F39" s="74"/>
      <c r="G39" s="57"/>
      <c r="H39" s="57"/>
      <c r="I39" s="61"/>
      <c r="J39" s="66"/>
      <c r="K39" s="66"/>
      <c r="L39" s="30"/>
      <c r="M39" s="30"/>
      <c r="N39" s="12"/>
      <c r="O39" s="12"/>
      <c r="P39" s="12"/>
      <c r="Q39" s="12"/>
      <c r="R39" s="83"/>
      <c r="S39" s="19"/>
      <c r="T39" s="19"/>
      <c r="U39" s="19"/>
      <c r="V39" s="19"/>
      <c r="W39" s="83"/>
      <c r="X39" s="24"/>
      <c r="Y39" s="24"/>
      <c r="Z39" s="24"/>
      <c r="AA39" s="24"/>
      <c r="AB39" s="83"/>
      <c r="AC39" s="30"/>
      <c r="AD39" s="30"/>
      <c r="AE39" s="30"/>
      <c r="AF39" s="83"/>
      <c r="AG39" s="38"/>
      <c r="AH39" s="39"/>
      <c r="AI39" s="38"/>
    </row>
    <row r="40" spans="1:35" ht="18.5" x14ac:dyDescent="0.65">
      <c r="A40" s="2"/>
      <c r="B40" s="49"/>
      <c r="C40" s="69"/>
      <c r="D40" s="54"/>
      <c r="E40" s="54"/>
      <c r="F40" s="74"/>
      <c r="G40" s="57"/>
      <c r="H40" s="57"/>
      <c r="I40" s="61"/>
      <c r="J40" s="66"/>
      <c r="K40" s="66"/>
      <c r="L40" s="30"/>
      <c r="M40" s="30"/>
      <c r="N40" s="12"/>
      <c r="O40" s="12"/>
      <c r="P40" s="12"/>
      <c r="Q40" s="12"/>
      <c r="R40" s="83"/>
      <c r="S40" s="19"/>
      <c r="T40" s="19"/>
      <c r="U40" s="19"/>
      <c r="V40" s="19"/>
      <c r="W40" s="83"/>
      <c r="X40" s="24"/>
      <c r="Y40" s="24"/>
      <c r="Z40" s="24"/>
      <c r="AA40" s="24"/>
      <c r="AB40" s="83"/>
      <c r="AC40" s="30"/>
      <c r="AD40" s="30"/>
      <c r="AE40" s="30"/>
      <c r="AF40" s="83"/>
      <c r="AG40" s="38"/>
      <c r="AH40" s="39"/>
      <c r="AI40" s="38"/>
    </row>
    <row r="41" spans="1:35" ht="18.5" x14ac:dyDescent="0.65">
      <c r="A41" s="2"/>
      <c r="B41" s="50"/>
      <c r="C41" s="70"/>
      <c r="D41" s="55"/>
      <c r="E41" s="55"/>
      <c r="F41" s="75"/>
      <c r="G41" s="58"/>
      <c r="H41" s="58"/>
      <c r="I41" s="62"/>
      <c r="AH41" s="39"/>
      <c r="AI41" s="38"/>
    </row>
    <row r="42" spans="1:35" ht="18.5" x14ac:dyDescent="0.65">
      <c r="A42" s="2"/>
      <c r="B42" s="50"/>
      <c r="C42" s="70"/>
      <c r="D42" s="55"/>
      <c r="E42" s="55"/>
      <c r="F42" s="75"/>
      <c r="G42" s="58"/>
      <c r="H42" s="58"/>
      <c r="I42" s="62"/>
      <c r="AH42" s="39"/>
      <c r="AI42" s="38"/>
    </row>
    <row r="43" spans="1:35" ht="18.5" x14ac:dyDescent="0.65">
      <c r="A43" s="2"/>
      <c r="B43" s="50"/>
      <c r="C43" s="70"/>
      <c r="D43" s="55"/>
      <c r="E43" s="55"/>
      <c r="F43" s="75"/>
      <c r="G43" s="58"/>
      <c r="H43" s="58"/>
      <c r="I43" s="62"/>
      <c r="AH43" s="39"/>
      <c r="AI43" s="38"/>
    </row>
    <row r="44" spans="1:35" ht="18.5" x14ac:dyDescent="0.65">
      <c r="A44" s="2"/>
      <c r="B44" s="50"/>
      <c r="C44" s="70"/>
      <c r="D44" s="55"/>
      <c r="E44" s="55"/>
      <c r="F44" s="75"/>
      <c r="G44" s="58"/>
      <c r="H44" s="58"/>
      <c r="I44" s="62"/>
      <c r="AH44" s="39"/>
      <c r="AI44" s="38"/>
    </row>
    <row r="45" spans="1:35" ht="18.5" x14ac:dyDescent="0.65">
      <c r="A45" s="2"/>
      <c r="B45" s="50"/>
      <c r="C45" s="70"/>
      <c r="D45" s="55"/>
      <c r="E45" s="55"/>
      <c r="F45" s="75"/>
      <c r="G45" s="58"/>
      <c r="H45" s="58"/>
      <c r="I45" s="62"/>
      <c r="AH45" s="39"/>
      <c r="AI45" s="38"/>
    </row>
    <row r="46" spans="1:35" ht="18.5" x14ac:dyDescent="0.65">
      <c r="A46" s="2"/>
      <c r="B46" s="50"/>
      <c r="C46" s="70"/>
      <c r="D46" s="55"/>
      <c r="E46" s="55"/>
      <c r="F46" s="75"/>
      <c r="G46" s="58"/>
      <c r="H46" s="58"/>
      <c r="I46" s="62"/>
      <c r="AH46" s="39"/>
      <c r="AI46" s="38"/>
    </row>
    <row r="47" spans="1:35" ht="18.5" x14ac:dyDescent="0.65">
      <c r="A47" s="2"/>
      <c r="B47" s="50"/>
      <c r="C47" s="70"/>
      <c r="D47" s="55"/>
      <c r="E47" s="55"/>
      <c r="F47" s="75"/>
      <c r="G47" s="58"/>
      <c r="H47" s="58"/>
      <c r="I47" s="62"/>
      <c r="AH47" s="39"/>
      <c r="AI47" s="38"/>
    </row>
    <row r="48" spans="1:35" ht="18.5" x14ac:dyDescent="0.65">
      <c r="A48" s="2"/>
      <c r="B48" s="50"/>
      <c r="C48" s="70"/>
      <c r="D48" s="55"/>
      <c r="E48" s="55"/>
      <c r="F48" s="75"/>
      <c r="G48" s="58"/>
      <c r="H48" s="58"/>
      <c r="I48" s="62"/>
      <c r="AH48" s="39"/>
      <c r="AI48" s="38"/>
    </row>
    <row r="49" spans="1:35" ht="18.5" x14ac:dyDescent="0.65">
      <c r="A49" s="2"/>
      <c r="B49" s="50"/>
      <c r="C49" s="70"/>
      <c r="D49" s="55"/>
      <c r="E49" s="55"/>
      <c r="F49" s="75"/>
      <c r="G49" s="58"/>
      <c r="H49" s="58"/>
      <c r="I49" s="62"/>
      <c r="AH49" s="39"/>
      <c r="AI49" s="38"/>
    </row>
    <row r="50" spans="1:35" ht="18.5" x14ac:dyDescent="0.65">
      <c r="A50" s="2"/>
      <c r="B50" s="50"/>
      <c r="C50" s="70"/>
      <c r="D50" s="55"/>
      <c r="E50" s="55"/>
      <c r="F50" s="75"/>
      <c r="G50" s="58"/>
      <c r="H50" s="58"/>
      <c r="I50" s="62"/>
      <c r="AH50" s="39"/>
      <c r="AI50" s="38"/>
    </row>
    <row r="51" spans="1:35" ht="18.5" x14ac:dyDescent="0.65">
      <c r="A51" s="2"/>
      <c r="B51" s="50"/>
      <c r="C51" s="70"/>
      <c r="D51" s="55"/>
      <c r="E51" s="55"/>
      <c r="F51" s="75"/>
      <c r="G51" s="58"/>
      <c r="H51" s="58"/>
      <c r="I51" s="62"/>
      <c r="AH51" s="39"/>
      <c r="AI51" s="38"/>
    </row>
    <row r="52" spans="1:35" ht="18.5" x14ac:dyDescent="0.65">
      <c r="A52" s="2"/>
      <c r="B52" s="50"/>
      <c r="C52" s="70"/>
      <c r="D52" s="55"/>
      <c r="E52" s="55"/>
      <c r="F52" s="75"/>
      <c r="G52" s="58"/>
      <c r="H52" s="58"/>
      <c r="I52" s="62"/>
      <c r="AH52" s="39"/>
      <c r="AI52" s="38"/>
    </row>
    <row r="53" spans="1:35" ht="18.5" x14ac:dyDescent="0.65">
      <c r="A53" s="2"/>
      <c r="B53" s="50"/>
      <c r="C53" s="70"/>
      <c r="D53" s="55"/>
      <c r="E53" s="55"/>
      <c r="F53" s="75"/>
      <c r="G53" s="58"/>
      <c r="H53" s="58"/>
      <c r="I53" s="62"/>
      <c r="AH53" s="39"/>
      <c r="AI53" s="38"/>
    </row>
    <row r="54" spans="1:35" ht="18.5" x14ac:dyDescent="0.65">
      <c r="A54" s="2"/>
      <c r="B54" s="50"/>
      <c r="C54" s="70"/>
      <c r="D54" s="55"/>
      <c r="E54" s="55"/>
      <c r="F54" s="75"/>
      <c r="G54" s="58"/>
      <c r="H54" s="58"/>
      <c r="I54" s="62"/>
      <c r="AH54" s="39"/>
      <c r="AI54" s="38"/>
    </row>
    <row r="55" spans="1:35" ht="18.5" x14ac:dyDescent="0.65">
      <c r="A55" s="2"/>
      <c r="B55" s="50"/>
      <c r="C55" s="70"/>
      <c r="D55" s="55"/>
      <c r="E55" s="55"/>
      <c r="F55" s="75"/>
      <c r="G55" s="58"/>
      <c r="H55" s="58"/>
      <c r="I55" s="62"/>
      <c r="AH55" s="39"/>
      <c r="AI55" s="38"/>
    </row>
    <row r="56" spans="1:35" ht="18.5" x14ac:dyDescent="0.65">
      <c r="A56" s="2"/>
      <c r="B56" s="50"/>
      <c r="C56" s="70"/>
      <c r="D56" s="55"/>
      <c r="E56" s="55"/>
      <c r="F56" s="75"/>
      <c r="G56" s="58"/>
      <c r="H56" s="58"/>
      <c r="I56" s="62"/>
      <c r="AH56" s="39"/>
      <c r="AI56" s="38"/>
    </row>
    <row r="57" spans="1:35" ht="18.5" x14ac:dyDescent="0.65">
      <c r="A57" s="2"/>
      <c r="B57" s="50"/>
      <c r="C57" s="70"/>
      <c r="D57" s="55"/>
      <c r="E57" s="55"/>
      <c r="F57" s="75"/>
      <c r="G57" s="58"/>
      <c r="H57" s="58"/>
      <c r="I57" s="62"/>
      <c r="AH57" s="39"/>
      <c r="AI57" s="38"/>
    </row>
    <row r="58" spans="1:35" ht="18.5" x14ac:dyDescent="0.65">
      <c r="A58" s="2"/>
      <c r="B58" s="50"/>
      <c r="C58" s="70"/>
      <c r="D58" s="55"/>
      <c r="E58" s="55"/>
      <c r="F58" s="75"/>
      <c r="G58" s="58"/>
      <c r="H58" s="58"/>
      <c r="I58" s="62"/>
      <c r="AH58" s="39"/>
      <c r="AI58" s="38"/>
    </row>
    <row r="59" spans="1:35" ht="18.5" x14ac:dyDescent="0.65">
      <c r="A59" s="2"/>
      <c r="B59" s="50"/>
      <c r="C59" s="70"/>
      <c r="D59" s="55"/>
      <c r="E59" s="55"/>
      <c r="F59" s="75"/>
      <c r="G59" s="58"/>
      <c r="H59" s="58"/>
      <c r="I59" s="62"/>
      <c r="AH59" s="39"/>
      <c r="AI59" s="38"/>
    </row>
    <row r="60" spans="1:35" ht="18.5" x14ac:dyDescent="0.65">
      <c r="A60" s="2"/>
      <c r="B60" s="50"/>
      <c r="C60" s="70"/>
      <c r="D60" s="55"/>
      <c r="E60" s="55"/>
      <c r="F60" s="75"/>
      <c r="G60" s="58"/>
      <c r="H60" s="58"/>
      <c r="I60" s="62"/>
      <c r="AH60" s="39"/>
      <c r="AI60" s="38"/>
    </row>
    <row r="61" spans="1:35" ht="18.5" x14ac:dyDescent="0.65">
      <c r="A61" s="2"/>
      <c r="B61" s="50"/>
      <c r="C61" s="70"/>
      <c r="D61" s="55"/>
      <c r="E61" s="55"/>
      <c r="F61" s="75"/>
      <c r="G61" s="58"/>
      <c r="H61" s="58"/>
      <c r="I61" s="62"/>
      <c r="AH61" s="39"/>
      <c r="AI61" s="38"/>
    </row>
    <row r="62" spans="1:35" ht="18.5" x14ac:dyDescent="0.65">
      <c r="A62" s="2"/>
      <c r="B62" s="50"/>
      <c r="C62" s="70"/>
      <c r="D62" s="55"/>
      <c r="E62" s="55"/>
      <c r="F62" s="75"/>
      <c r="G62" s="58"/>
      <c r="H62" s="58"/>
      <c r="I62" s="62"/>
      <c r="AH62" s="39"/>
      <c r="AI62" s="38"/>
    </row>
    <row r="63" spans="1:35" ht="18.5" x14ac:dyDescent="0.65">
      <c r="A63" s="2"/>
      <c r="B63" s="50"/>
      <c r="C63" s="70"/>
      <c r="D63" s="55"/>
      <c r="E63" s="55"/>
      <c r="F63" s="75"/>
      <c r="G63" s="58"/>
      <c r="H63" s="58"/>
      <c r="I63" s="62"/>
      <c r="AH63" s="39"/>
      <c r="AI63" s="38"/>
    </row>
    <row r="64" spans="1:35" ht="18.5" x14ac:dyDescent="0.65">
      <c r="A64" s="2"/>
      <c r="B64" s="50"/>
      <c r="C64" s="70"/>
      <c r="D64" s="55"/>
      <c r="E64" s="55"/>
      <c r="F64" s="75"/>
      <c r="G64" s="58"/>
      <c r="H64" s="58"/>
      <c r="I64" s="62"/>
      <c r="AH64" s="39"/>
      <c r="AI64" s="38"/>
    </row>
    <row r="65" spans="1:35" ht="18.5" x14ac:dyDescent="0.65">
      <c r="A65" s="2"/>
      <c r="B65" s="50"/>
      <c r="C65" s="70"/>
      <c r="D65" s="55"/>
      <c r="E65" s="55"/>
      <c r="F65" s="75"/>
      <c r="G65" s="58"/>
      <c r="H65" s="58"/>
      <c r="I65" s="62"/>
      <c r="AH65" s="39"/>
      <c r="AI65" s="38"/>
    </row>
    <row r="66" spans="1:35" ht="18.5" x14ac:dyDescent="0.65">
      <c r="A66" s="2"/>
      <c r="B66" s="50"/>
      <c r="C66" s="70"/>
      <c r="D66" s="55"/>
      <c r="E66" s="55"/>
      <c r="F66" s="75"/>
      <c r="G66" s="58"/>
      <c r="H66" s="58"/>
      <c r="I66" s="62"/>
      <c r="AH66" s="39"/>
      <c r="AI66" s="38"/>
    </row>
    <row r="67" spans="1:35" ht="18.5" x14ac:dyDescent="0.65">
      <c r="A67" s="2"/>
      <c r="B67" s="50"/>
      <c r="C67" s="70"/>
      <c r="D67" s="55"/>
      <c r="E67" s="55"/>
      <c r="F67" s="75"/>
      <c r="G67" s="58"/>
      <c r="H67" s="58"/>
      <c r="I67" s="62"/>
      <c r="AH67" s="39"/>
      <c r="AI67" s="38"/>
    </row>
    <row r="68" spans="1:35" ht="18.5" x14ac:dyDescent="0.65">
      <c r="A68" s="2"/>
      <c r="B68" s="50"/>
      <c r="C68" s="70"/>
      <c r="D68" s="55"/>
      <c r="E68" s="55"/>
      <c r="F68" s="75"/>
      <c r="G68" s="58"/>
      <c r="H68" s="58"/>
      <c r="I68" s="62"/>
      <c r="AH68" s="39"/>
      <c r="AI68" s="38"/>
    </row>
    <row r="69" spans="1:35" ht="18.5" x14ac:dyDescent="0.65">
      <c r="A69" s="2"/>
      <c r="B69" s="50"/>
      <c r="C69" s="70"/>
      <c r="D69" s="55"/>
      <c r="E69" s="55"/>
      <c r="F69" s="75"/>
      <c r="G69" s="58"/>
      <c r="H69" s="58"/>
      <c r="I69" s="62"/>
      <c r="AH69" s="39"/>
      <c r="AI69" s="38"/>
    </row>
    <row r="70" spans="1:35" ht="18.5" x14ac:dyDescent="0.65">
      <c r="A70" s="2"/>
      <c r="B70" s="50"/>
      <c r="C70" s="70"/>
      <c r="D70" s="55"/>
      <c r="E70" s="55"/>
      <c r="F70" s="75"/>
      <c r="G70" s="58"/>
      <c r="H70" s="58"/>
      <c r="I70" s="62"/>
      <c r="AH70" s="39"/>
      <c r="AI70" s="38"/>
    </row>
    <row r="71" spans="1:35" ht="18.5" x14ac:dyDescent="0.65">
      <c r="A71" s="2"/>
      <c r="B71" s="50"/>
      <c r="C71" s="70"/>
      <c r="D71" s="55"/>
      <c r="E71" s="55"/>
      <c r="F71" s="75"/>
      <c r="G71" s="58"/>
      <c r="H71" s="58"/>
      <c r="I71" s="62"/>
      <c r="AH71" s="39"/>
      <c r="AI71" s="38"/>
    </row>
    <row r="72" spans="1:35" ht="18.5" x14ac:dyDescent="0.65">
      <c r="A72" s="2"/>
      <c r="B72" s="50"/>
      <c r="C72" s="70"/>
      <c r="D72" s="55"/>
      <c r="E72" s="55"/>
      <c r="F72" s="75"/>
      <c r="G72" s="58"/>
      <c r="H72" s="58"/>
      <c r="I72" s="62"/>
      <c r="AH72" s="39"/>
      <c r="AI72" s="38"/>
    </row>
    <row r="73" spans="1:35" ht="18.5" x14ac:dyDescent="0.65">
      <c r="A73" s="2"/>
      <c r="B73" s="50"/>
      <c r="C73" s="70"/>
      <c r="D73" s="55"/>
      <c r="E73" s="55"/>
      <c r="F73" s="75"/>
      <c r="G73" s="58"/>
      <c r="H73" s="58"/>
      <c r="I73" s="62"/>
      <c r="AH73" s="39"/>
      <c r="AI73" s="38"/>
    </row>
    <row r="74" spans="1:35" ht="18.5" x14ac:dyDescent="0.65">
      <c r="A74" s="2"/>
      <c r="B74" s="50"/>
      <c r="C74" s="70"/>
      <c r="D74" s="55"/>
      <c r="E74" s="55"/>
      <c r="F74" s="75"/>
      <c r="G74" s="58"/>
      <c r="H74" s="58"/>
      <c r="I74" s="62"/>
      <c r="AH74" s="39"/>
      <c r="AI74" s="38"/>
    </row>
    <row r="75" spans="1:35" ht="18.5" x14ac:dyDescent="0.65">
      <c r="A75" s="2"/>
      <c r="B75" s="50"/>
      <c r="C75" s="70"/>
      <c r="D75" s="55"/>
      <c r="E75" s="55"/>
      <c r="F75" s="75"/>
      <c r="G75" s="58"/>
      <c r="H75" s="58"/>
      <c r="I75" s="62"/>
      <c r="AH75" s="39"/>
      <c r="AI75" s="38"/>
    </row>
    <row r="76" spans="1:35" ht="18.5" x14ac:dyDescent="0.65">
      <c r="A76" s="2"/>
      <c r="B76" s="50"/>
      <c r="C76" s="70"/>
      <c r="D76" s="55"/>
      <c r="E76" s="55"/>
      <c r="F76" s="75"/>
      <c r="G76" s="58"/>
      <c r="H76" s="58"/>
      <c r="I76" s="62"/>
      <c r="AH76" s="39"/>
      <c r="AI76" s="38"/>
    </row>
    <row r="77" spans="1:35" ht="18.5" x14ac:dyDescent="0.65">
      <c r="A77" s="2"/>
      <c r="B77" s="50"/>
      <c r="C77" s="70"/>
      <c r="D77" s="55"/>
      <c r="E77" s="55"/>
      <c r="F77" s="75"/>
      <c r="G77" s="58"/>
      <c r="H77" s="58"/>
      <c r="I77" s="62"/>
      <c r="AH77" s="39"/>
      <c r="AI77" s="38"/>
    </row>
    <row r="78" spans="1:35" ht="18.5" x14ac:dyDescent="0.65">
      <c r="A78" s="2"/>
      <c r="B78" s="50"/>
      <c r="C78" s="70"/>
      <c r="D78" s="55"/>
      <c r="E78" s="55"/>
      <c r="F78" s="75"/>
      <c r="G78" s="58"/>
      <c r="H78" s="58"/>
      <c r="I78" s="62"/>
      <c r="AH78" s="39"/>
      <c r="AI78" s="38"/>
    </row>
    <row r="79" spans="1:35" ht="18.5" x14ac:dyDescent="0.65">
      <c r="A79" s="2"/>
      <c r="B79" s="50"/>
      <c r="C79" s="70"/>
      <c r="D79" s="55"/>
      <c r="E79" s="55"/>
      <c r="F79" s="75"/>
      <c r="G79" s="58"/>
      <c r="H79" s="58"/>
      <c r="I79" s="62"/>
      <c r="AH79" s="39"/>
      <c r="AI79" s="38"/>
    </row>
    <row r="80" spans="1:35" ht="18.5" x14ac:dyDescent="0.65">
      <c r="A80" s="2"/>
      <c r="B80" s="50"/>
      <c r="C80" s="70"/>
      <c r="D80" s="55"/>
      <c r="E80" s="55"/>
      <c r="F80" s="75"/>
      <c r="G80" s="58"/>
      <c r="H80" s="58"/>
      <c r="I80" s="62"/>
      <c r="AH80" s="39"/>
      <c r="AI80" s="38"/>
    </row>
    <row r="81" spans="1:35" ht="18.5" x14ac:dyDescent="0.65">
      <c r="A81" s="2"/>
      <c r="B81" s="50"/>
      <c r="C81" s="70"/>
      <c r="D81" s="55"/>
      <c r="E81" s="55"/>
      <c r="F81" s="75"/>
      <c r="G81" s="58"/>
      <c r="H81" s="58"/>
      <c r="I81" s="62"/>
      <c r="AH81" s="39"/>
      <c r="AI81" s="38"/>
    </row>
    <row r="82" spans="1:35" ht="18.5" x14ac:dyDescent="0.65">
      <c r="A82" s="2"/>
      <c r="B82" s="50"/>
      <c r="C82" s="70"/>
      <c r="D82" s="55"/>
      <c r="E82" s="55"/>
      <c r="F82" s="75"/>
      <c r="G82" s="58"/>
      <c r="H82" s="58"/>
      <c r="I82" s="62"/>
      <c r="AH82" s="39"/>
      <c r="AI82" s="38"/>
    </row>
    <row r="83" spans="1:35" ht="18.5" x14ac:dyDescent="0.65">
      <c r="A83" s="2"/>
      <c r="B83" s="50"/>
      <c r="C83" s="70"/>
      <c r="D83" s="55"/>
      <c r="E83" s="55"/>
      <c r="F83" s="75"/>
      <c r="G83" s="58"/>
      <c r="H83" s="58"/>
      <c r="I83" s="62"/>
      <c r="AH83" s="39"/>
      <c r="AI83" s="38"/>
    </row>
    <row r="84" spans="1:35" ht="18.5" x14ac:dyDescent="0.65">
      <c r="A84" s="2"/>
      <c r="B84" s="50"/>
      <c r="C84" s="70"/>
      <c r="D84" s="55"/>
      <c r="E84" s="55"/>
      <c r="F84" s="75"/>
      <c r="G84" s="58"/>
      <c r="H84" s="58"/>
      <c r="I84" s="62"/>
      <c r="AH84" s="39"/>
      <c r="AI84" s="38"/>
    </row>
    <row r="85" spans="1:35" ht="18.5" x14ac:dyDescent="0.65">
      <c r="A85" s="2"/>
      <c r="B85" s="50"/>
      <c r="C85" s="70"/>
      <c r="D85" s="55"/>
      <c r="E85" s="55"/>
      <c r="F85" s="75"/>
      <c r="G85" s="58"/>
      <c r="H85" s="58"/>
      <c r="I85" s="62"/>
      <c r="AH85" s="39"/>
      <c r="AI85" s="38"/>
    </row>
    <row r="86" spans="1:35" ht="18.5" x14ac:dyDescent="0.65">
      <c r="A86" s="2"/>
      <c r="B86" s="50"/>
      <c r="C86" s="70"/>
      <c r="D86" s="55"/>
      <c r="E86" s="55"/>
      <c r="F86" s="75"/>
      <c r="G86" s="58"/>
      <c r="H86" s="58"/>
      <c r="I86" s="62"/>
      <c r="AH86" s="39"/>
      <c r="AI86" s="38"/>
    </row>
    <row r="87" spans="1:35" ht="18.5" x14ac:dyDescent="0.65">
      <c r="A87" s="2"/>
      <c r="B87" s="50"/>
      <c r="C87" s="70"/>
      <c r="D87" s="55"/>
      <c r="E87" s="55"/>
      <c r="F87" s="75"/>
      <c r="G87" s="58"/>
      <c r="H87" s="58"/>
      <c r="I87" s="62"/>
      <c r="AH87" s="39"/>
      <c r="AI87" s="38"/>
    </row>
    <row r="88" spans="1:35" ht="18.5" x14ac:dyDescent="0.65">
      <c r="A88" s="2"/>
      <c r="B88" s="50"/>
      <c r="C88" s="70"/>
      <c r="D88" s="55"/>
      <c r="E88" s="55"/>
      <c r="F88" s="75"/>
      <c r="G88" s="58"/>
      <c r="H88" s="58"/>
      <c r="I88" s="62"/>
      <c r="AH88" s="39"/>
      <c r="AI88" s="38"/>
    </row>
    <row r="89" spans="1:35" ht="18.5" x14ac:dyDescent="0.65">
      <c r="A89" s="2"/>
      <c r="B89" s="50"/>
      <c r="C89" s="70"/>
      <c r="D89" s="55"/>
      <c r="E89" s="55"/>
      <c r="F89" s="75"/>
      <c r="G89" s="58"/>
      <c r="H89" s="58"/>
      <c r="I89" s="62"/>
      <c r="AH89" s="39"/>
      <c r="AI89" s="38"/>
    </row>
    <row r="90" spans="1:35" ht="18.5" x14ac:dyDescent="0.65">
      <c r="A90" s="2"/>
      <c r="B90" s="50"/>
      <c r="C90" s="70"/>
      <c r="D90" s="55"/>
      <c r="E90" s="55"/>
      <c r="F90" s="75"/>
      <c r="G90" s="58"/>
      <c r="H90" s="58"/>
      <c r="I90" s="62"/>
      <c r="AH90" s="39"/>
      <c r="AI90" s="38"/>
    </row>
    <row r="91" spans="1:35" ht="17" x14ac:dyDescent="0.6">
      <c r="A91" s="2"/>
      <c r="B91" s="50"/>
      <c r="C91" s="70"/>
      <c r="D91" s="55"/>
      <c r="E91" s="55"/>
      <c r="F91" s="75"/>
      <c r="G91" s="58"/>
      <c r="H91" s="58"/>
      <c r="I91" s="62"/>
      <c r="AH91" s="40"/>
    </row>
    <row r="92" spans="1:35" ht="17" x14ac:dyDescent="0.6">
      <c r="A92" s="2"/>
      <c r="B92" s="50"/>
      <c r="C92" s="70"/>
      <c r="D92" s="55"/>
      <c r="E92" s="55"/>
      <c r="F92" s="75"/>
      <c r="G92" s="58"/>
      <c r="H92" s="58"/>
      <c r="I92" s="62"/>
      <c r="AH92" s="40"/>
    </row>
    <row r="93" spans="1:35" x14ac:dyDescent="0.35">
      <c r="A93" s="2"/>
      <c r="B93" s="50"/>
      <c r="C93" s="70"/>
      <c r="D93" s="55"/>
      <c r="E93" s="55"/>
      <c r="F93" s="75"/>
      <c r="G93" s="58"/>
      <c r="H93" s="58"/>
      <c r="I93" s="62"/>
    </row>
    <row r="94" spans="1:35" x14ac:dyDescent="0.35">
      <c r="A94" s="2"/>
      <c r="B94" s="50"/>
      <c r="C94" s="70"/>
      <c r="D94" s="55"/>
      <c r="E94" s="55"/>
      <c r="F94" s="75"/>
      <c r="G94" s="58"/>
      <c r="H94" s="58"/>
      <c r="I94" s="62"/>
    </row>
    <row r="95" spans="1:35" x14ac:dyDescent="0.35">
      <c r="A95" s="2"/>
      <c r="B95" s="50"/>
      <c r="C95" s="70"/>
      <c r="D95" s="55"/>
      <c r="E95" s="55"/>
      <c r="F95" s="75"/>
      <c r="G95" s="58"/>
      <c r="H95" s="58"/>
      <c r="I95" s="62"/>
    </row>
    <row r="96" spans="1:35" x14ac:dyDescent="0.35">
      <c r="A96" s="2"/>
      <c r="B96" s="50"/>
      <c r="C96" s="70"/>
      <c r="D96" s="55"/>
      <c r="E96" s="55"/>
      <c r="F96" s="75"/>
      <c r="G96" s="58"/>
      <c r="H96" s="58"/>
      <c r="I96" s="62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A9AA9-2622-492D-BF6A-3BFD85886F72}">
  <dimension ref="A1:AJ96"/>
  <sheetViews>
    <sheetView workbookViewId="0">
      <pane xSplit="1" topLeftCell="B1" activePane="topRight" state="frozen"/>
      <selection pane="topRight" activeCell="AJ4" sqref="AJ4"/>
    </sheetView>
  </sheetViews>
  <sheetFormatPr defaultRowHeight="14.5" x14ac:dyDescent="0.35"/>
  <cols>
    <col min="1" max="1" width="24.36328125" customWidth="1"/>
    <col min="2" max="2" width="14.6328125" style="51" customWidth="1"/>
    <col min="3" max="3" width="13.08984375" style="71" customWidth="1"/>
    <col min="4" max="5" width="13.90625" style="56" customWidth="1"/>
    <col min="6" max="6" width="13.453125" style="76" customWidth="1"/>
    <col min="7" max="7" width="14.36328125" style="15" customWidth="1"/>
    <col min="8" max="8" width="13.36328125" style="15" customWidth="1"/>
    <col min="9" max="9" width="14.36328125" style="63" customWidth="1"/>
    <col min="10" max="10" width="14.453125" style="51" customWidth="1"/>
    <col min="11" max="11" width="14.26953125" style="51" customWidth="1"/>
    <col min="12" max="12" width="14" style="26" customWidth="1"/>
    <col min="13" max="13" width="13.36328125" style="26" customWidth="1"/>
    <col min="14" max="17" width="8.81640625" bestFit="1" customWidth="1"/>
    <col min="18" max="18" width="8.81640625" style="10" customWidth="1"/>
    <col min="19" max="20" width="8.81640625" style="15" bestFit="1" customWidth="1"/>
    <col min="21" max="21" width="8.81640625" style="15" customWidth="1"/>
    <col min="22" max="22" width="8.81640625" style="15" bestFit="1" customWidth="1"/>
    <col min="23" max="23" width="8.81640625" style="10" customWidth="1"/>
    <col min="24" max="24" width="10.08984375" style="20" bestFit="1" customWidth="1"/>
    <col min="25" max="25" width="8.81640625" style="20" bestFit="1" customWidth="1"/>
    <col min="26" max="26" width="8.81640625" style="20" customWidth="1"/>
    <col min="27" max="27" width="8.81640625" style="20" bestFit="1" customWidth="1"/>
    <col min="28" max="28" width="8.81640625" style="10" customWidth="1"/>
    <col min="29" max="30" width="8.81640625" style="26" bestFit="1" customWidth="1"/>
    <col min="31" max="31" width="10.08984375" style="26" bestFit="1" customWidth="1"/>
    <col min="32" max="32" width="10.08984375" style="10" customWidth="1"/>
    <col min="33" max="33" width="10.08984375" style="31" bestFit="1" customWidth="1"/>
    <col min="34" max="35" width="8.7265625" style="31"/>
    <col min="36" max="36" width="8.7265625" style="100"/>
  </cols>
  <sheetData>
    <row r="1" spans="1:36" s="10" customFormat="1" ht="85" x14ac:dyDescent="0.35">
      <c r="A1" s="6" t="s">
        <v>1</v>
      </c>
      <c r="B1" s="47" t="s">
        <v>32</v>
      </c>
      <c r="C1" s="67" t="s">
        <v>36</v>
      </c>
      <c r="D1" s="52" t="s">
        <v>31</v>
      </c>
      <c r="E1" s="52" t="s">
        <v>30</v>
      </c>
      <c r="F1" s="72" t="s">
        <v>35</v>
      </c>
      <c r="G1" s="16" t="s">
        <v>33</v>
      </c>
      <c r="H1" s="16" t="s">
        <v>34</v>
      </c>
      <c r="I1" s="59" t="s">
        <v>27</v>
      </c>
      <c r="J1" s="64" t="s">
        <v>29</v>
      </c>
      <c r="K1" s="64" t="s">
        <v>28</v>
      </c>
      <c r="L1" s="11" t="s">
        <v>37</v>
      </c>
      <c r="M1" s="11" t="s">
        <v>38</v>
      </c>
      <c r="N1" s="6" t="s">
        <v>39</v>
      </c>
      <c r="O1" s="6" t="s">
        <v>40</v>
      </c>
      <c r="P1" s="6" t="s">
        <v>41</v>
      </c>
      <c r="Q1" s="6" t="s">
        <v>42</v>
      </c>
      <c r="R1" s="6" t="s">
        <v>23</v>
      </c>
      <c r="S1" s="16" t="s">
        <v>43</v>
      </c>
      <c r="T1" s="16" t="s">
        <v>44</v>
      </c>
      <c r="U1" s="16" t="s">
        <v>61</v>
      </c>
      <c r="V1" s="16" t="s">
        <v>45</v>
      </c>
      <c r="W1" s="7" t="s">
        <v>23</v>
      </c>
      <c r="X1" s="21" t="s">
        <v>46</v>
      </c>
      <c r="Y1" s="21" t="s">
        <v>47</v>
      </c>
      <c r="Z1" s="21" t="s">
        <v>62</v>
      </c>
      <c r="AA1" s="21" t="s">
        <v>48</v>
      </c>
      <c r="AB1" s="7" t="s">
        <v>23</v>
      </c>
      <c r="AC1" s="11" t="s">
        <v>49</v>
      </c>
      <c r="AD1" s="11" t="s">
        <v>50</v>
      </c>
      <c r="AE1" s="11" t="s">
        <v>51</v>
      </c>
      <c r="AF1" s="7" t="s">
        <v>23</v>
      </c>
      <c r="AG1" s="32" t="s">
        <v>52</v>
      </c>
      <c r="AH1" s="32" t="s">
        <v>53</v>
      </c>
      <c r="AI1" s="32" t="s">
        <v>54</v>
      </c>
      <c r="AJ1" s="94" t="s">
        <v>23</v>
      </c>
    </row>
    <row r="2" spans="1:36" ht="18.5" x14ac:dyDescent="0.65">
      <c r="A2" s="3" t="s">
        <v>18</v>
      </c>
      <c r="B2" s="48">
        <v>1618069</v>
      </c>
      <c r="C2" s="68">
        <f t="shared" ref="C2:C10" si="0">SUM(D2:E2)</f>
        <v>38462</v>
      </c>
      <c r="D2" s="53">
        <v>25347</v>
      </c>
      <c r="E2" s="53">
        <v>13115</v>
      </c>
      <c r="F2" s="73">
        <f t="shared" ref="F2:F10" si="1">SUM(G2:H2)</f>
        <v>7287</v>
      </c>
      <c r="G2" s="17">
        <v>1266</v>
      </c>
      <c r="H2" s="17">
        <v>6021</v>
      </c>
      <c r="I2" s="60">
        <f t="shared" ref="I2:I10" si="2">SUM(J2:K2)</f>
        <v>29927</v>
      </c>
      <c r="J2" s="48">
        <v>14005</v>
      </c>
      <c r="K2" s="48">
        <v>15922</v>
      </c>
      <c r="L2" s="27">
        <v>15458</v>
      </c>
      <c r="M2" s="27">
        <v>464</v>
      </c>
      <c r="N2" s="13">
        <v>10539</v>
      </c>
      <c r="O2" s="13">
        <v>4766</v>
      </c>
      <c r="P2" s="13">
        <v>153</v>
      </c>
      <c r="Q2" s="13">
        <v>464</v>
      </c>
      <c r="R2" s="88">
        <f>SUM(N2:Q2)</f>
        <v>15922</v>
      </c>
      <c r="S2" s="17">
        <v>15541</v>
      </c>
      <c r="T2" s="17">
        <v>114</v>
      </c>
      <c r="U2" s="17">
        <v>267</v>
      </c>
      <c r="V2" s="17">
        <v>0</v>
      </c>
      <c r="W2" s="88">
        <f>SUM(S2:V2)</f>
        <v>15922</v>
      </c>
      <c r="X2" s="22">
        <v>15499</v>
      </c>
      <c r="Y2" s="23">
        <v>156</v>
      </c>
      <c r="Z2" s="23">
        <v>267</v>
      </c>
      <c r="AA2" s="23">
        <v>0</v>
      </c>
      <c r="AB2" s="88">
        <f>SUM(X2:AA2)</f>
        <v>15922</v>
      </c>
      <c r="AC2" s="27">
        <v>314</v>
      </c>
      <c r="AD2" s="27">
        <v>89</v>
      </c>
      <c r="AE2" s="28">
        <v>15519</v>
      </c>
      <c r="AF2" s="87">
        <f>SUM(AC2:AE2)</f>
        <v>15922</v>
      </c>
      <c r="AG2" s="33">
        <v>14640</v>
      </c>
      <c r="AH2" s="34">
        <v>221</v>
      </c>
      <c r="AI2" s="33">
        <v>1061</v>
      </c>
      <c r="AJ2" s="95">
        <f>SUM(AG2:AI2)</f>
        <v>15922</v>
      </c>
    </row>
    <row r="3" spans="1:36" ht="18.5" x14ac:dyDescent="0.65">
      <c r="A3" s="3" t="s">
        <v>6</v>
      </c>
      <c r="B3" s="48">
        <v>745801</v>
      </c>
      <c r="C3" s="68">
        <f t="shared" si="0"/>
        <v>18604</v>
      </c>
      <c r="D3" s="53">
        <v>17170</v>
      </c>
      <c r="E3" s="53">
        <v>1434</v>
      </c>
      <c r="F3" s="73">
        <f t="shared" si="1"/>
        <v>20929</v>
      </c>
      <c r="G3" s="17">
        <v>11029</v>
      </c>
      <c r="H3" s="17">
        <v>9900</v>
      </c>
      <c r="I3" s="60">
        <f t="shared" si="2"/>
        <v>19921</v>
      </c>
      <c r="J3" s="65">
        <v>7465</v>
      </c>
      <c r="K3" s="65">
        <v>12456</v>
      </c>
      <c r="L3" s="28">
        <v>12028</v>
      </c>
      <c r="M3" s="28">
        <v>428</v>
      </c>
      <c r="N3" s="14">
        <v>6556</v>
      </c>
      <c r="O3" s="14">
        <v>5116</v>
      </c>
      <c r="P3" s="14">
        <v>356</v>
      </c>
      <c r="Q3" s="14">
        <v>428</v>
      </c>
      <c r="R3" s="87">
        <f>SUM(N3:Q3)</f>
        <v>12456</v>
      </c>
      <c r="S3" s="18">
        <v>12147</v>
      </c>
      <c r="T3" s="18">
        <v>107</v>
      </c>
      <c r="U3" s="18">
        <v>202</v>
      </c>
      <c r="V3" s="18">
        <v>0</v>
      </c>
      <c r="W3" s="88">
        <f>SUM(S3:V3)</f>
        <v>12456</v>
      </c>
      <c r="X3" s="22">
        <v>12094</v>
      </c>
      <c r="Y3" s="22">
        <v>160</v>
      </c>
      <c r="Z3" s="22">
        <v>202</v>
      </c>
      <c r="AA3" s="22">
        <v>0</v>
      </c>
      <c r="AB3" s="87">
        <f>SUM(X3:AA3)</f>
        <v>12456</v>
      </c>
      <c r="AC3" s="28">
        <v>9656</v>
      </c>
      <c r="AD3" s="28">
        <v>369</v>
      </c>
      <c r="AE3" s="28">
        <v>2431</v>
      </c>
      <c r="AF3" s="87">
        <f>SUM(AC3:AE3)</f>
        <v>12456</v>
      </c>
      <c r="AG3" s="33">
        <v>10946</v>
      </c>
      <c r="AH3" s="33">
        <v>207</v>
      </c>
      <c r="AI3" s="33">
        <v>1303</v>
      </c>
      <c r="AJ3" s="95">
        <f>SUM(AG3:AI3)</f>
        <v>12456</v>
      </c>
    </row>
    <row r="4" spans="1:36" ht="34" x14ac:dyDescent="0.35">
      <c r="A4" s="4" t="s">
        <v>9</v>
      </c>
      <c r="B4" s="48">
        <v>16089</v>
      </c>
      <c r="C4" s="68">
        <f t="shared" si="0"/>
        <v>1040</v>
      </c>
      <c r="D4" s="53">
        <v>374</v>
      </c>
      <c r="E4" s="53">
        <v>666</v>
      </c>
      <c r="F4" s="73">
        <f t="shared" si="1"/>
        <v>1542</v>
      </c>
      <c r="G4" s="17">
        <v>110</v>
      </c>
      <c r="H4" s="17">
        <v>1432</v>
      </c>
      <c r="I4" s="60">
        <f t="shared" si="2"/>
        <v>1289</v>
      </c>
      <c r="J4" s="48">
        <v>573</v>
      </c>
      <c r="K4" s="48">
        <v>716</v>
      </c>
      <c r="L4" s="27">
        <v>652</v>
      </c>
      <c r="M4" s="27">
        <v>64</v>
      </c>
      <c r="N4" s="13">
        <v>425</v>
      </c>
      <c r="O4" s="13">
        <v>196</v>
      </c>
      <c r="P4" s="13">
        <v>31</v>
      </c>
      <c r="Q4" s="13">
        <v>64</v>
      </c>
      <c r="R4" s="88">
        <f>SUM(N4:Q4)</f>
        <v>716</v>
      </c>
      <c r="S4" s="17">
        <v>691</v>
      </c>
      <c r="T4" s="17">
        <v>18</v>
      </c>
      <c r="U4" s="17">
        <v>7</v>
      </c>
      <c r="V4" s="17">
        <v>0</v>
      </c>
      <c r="W4" s="88">
        <f t="shared" ref="W4:W10" si="3">SUM(S4:V4)</f>
        <v>716</v>
      </c>
      <c r="X4" s="23">
        <v>669</v>
      </c>
      <c r="Y4" s="23">
        <v>40</v>
      </c>
      <c r="Z4" s="23">
        <v>7</v>
      </c>
      <c r="AA4" s="23">
        <v>0</v>
      </c>
      <c r="AB4" s="88">
        <f t="shared" ref="AB4:AB10" si="4">SUM(X4:AA4)</f>
        <v>716</v>
      </c>
      <c r="AC4" s="27">
        <v>531</v>
      </c>
      <c r="AD4" s="27">
        <v>61</v>
      </c>
      <c r="AE4" s="27">
        <v>124</v>
      </c>
      <c r="AF4" s="88">
        <f t="shared" ref="AF4:AF10" si="5">SUM(AC4:AE4)</f>
        <v>716</v>
      </c>
      <c r="AG4" s="35">
        <v>315</v>
      </c>
      <c r="AH4" s="35">
        <v>31</v>
      </c>
      <c r="AI4" s="35">
        <v>370</v>
      </c>
      <c r="AJ4" s="101">
        <f t="shared" ref="AJ4:AJ10" si="6">SUM(AG4:AI4)</f>
        <v>716</v>
      </c>
    </row>
    <row r="5" spans="1:36" ht="18.5" x14ac:dyDescent="0.35">
      <c r="A5" s="3" t="s">
        <v>11</v>
      </c>
      <c r="B5" s="48">
        <v>57791</v>
      </c>
      <c r="C5" s="68">
        <f t="shared" si="0"/>
        <v>1526</v>
      </c>
      <c r="D5" s="53">
        <v>1263</v>
      </c>
      <c r="E5" s="53">
        <v>263</v>
      </c>
      <c r="F5" s="73">
        <f t="shared" si="1"/>
        <v>2262</v>
      </c>
      <c r="G5" s="17">
        <v>275</v>
      </c>
      <c r="H5" s="17">
        <v>1987</v>
      </c>
      <c r="I5" s="60">
        <f t="shared" si="2"/>
        <v>725</v>
      </c>
      <c r="J5" s="48">
        <v>173</v>
      </c>
      <c r="K5" s="48">
        <v>552</v>
      </c>
      <c r="L5" s="27">
        <v>545</v>
      </c>
      <c r="M5" s="27">
        <v>7</v>
      </c>
      <c r="N5" s="13">
        <v>386</v>
      </c>
      <c r="O5" s="13">
        <v>145</v>
      </c>
      <c r="P5" s="13">
        <v>14</v>
      </c>
      <c r="Q5" s="13">
        <v>7</v>
      </c>
      <c r="R5" s="88">
        <f>SUM(N5:Q5)</f>
        <v>552</v>
      </c>
      <c r="S5" s="17">
        <v>546</v>
      </c>
      <c r="T5" s="17">
        <v>0</v>
      </c>
      <c r="U5" s="17">
        <v>6</v>
      </c>
      <c r="V5" s="17">
        <v>0</v>
      </c>
      <c r="W5" s="88">
        <f t="shared" si="3"/>
        <v>552</v>
      </c>
      <c r="X5" s="23">
        <v>545</v>
      </c>
      <c r="Y5" s="23">
        <v>1</v>
      </c>
      <c r="Z5" s="23">
        <v>6</v>
      </c>
      <c r="AA5" s="23">
        <v>0</v>
      </c>
      <c r="AB5" s="87">
        <f t="shared" si="4"/>
        <v>552</v>
      </c>
      <c r="AC5" s="27">
        <v>140</v>
      </c>
      <c r="AD5" s="27">
        <v>13</v>
      </c>
      <c r="AE5" s="27">
        <v>399</v>
      </c>
      <c r="AF5" s="87">
        <f t="shared" si="5"/>
        <v>552</v>
      </c>
      <c r="AG5" s="35">
        <v>509</v>
      </c>
      <c r="AH5" s="34">
        <v>3</v>
      </c>
      <c r="AI5" s="35">
        <v>40</v>
      </c>
      <c r="AJ5" s="95">
        <f t="shared" si="6"/>
        <v>552</v>
      </c>
    </row>
    <row r="6" spans="1:36" ht="18.5" x14ac:dyDescent="0.35">
      <c r="A6" s="3" t="s">
        <v>21</v>
      </c>
      <c r="B6" s="48">
        <v>6026</v>
      </c>
      <c r="C6" s="68">
        <f t="shared" si="0"/>
        <v>183</v>
      </c>
      <c r="D6" s="53">
        <v>74</v>
      </c>
      <c r="E6" s="53">
        <v>109</v>
      </c>
      <c r="F6" s="73">
        <f t="shared" si="1"/>
        <v>102</v>
      </c>
      <c r="G6" s="17">
        <v>19</v>
      </c>
      <c r="H6" s="17">
        <v>83</v>
      </c>
      <c r="I6" s="60">
        <f t="shared" si="2"/>
        <v>221</v>
      </c>
      <c r="J6" s="48">
        <v>146</v>
      </c>
      <c r="K6" s="48">
        <v>75</v>
      </c>
      <c r="L6" s="27">
        <v>70</v>
      </c>
      <c r="M6" s="27">
        <v>5</v>
      </c>
      <c r="N6" s="13">
        <v>33</v>
      </c>
      <c r="O6" s="13">
        <v>36</v>
      </c>
      <c r="P6" s="13">
        <v>1</v>
      </c>
      <c r="Q6" s="13">
        <v>5</v>
      </c>
      <c r="R6" s="88">
        <f>SUM(N6:Q6)</f>
        <v>75</v>
      </c>
      <c r="S6" s="17">
        <v>71</v>
      </c>
      <c r="T6" s="17">
        <v>1</v>
      </c>
      <c r="U6" s="17">
        <v>3</v>
      </c>
      <c r="V6" s="17">
        <v>0</v>
      </c>
      <c r="W6" s="88">
        <f t="shared" si="3"/>
        <v>75</v>
      </c>
      <c r="X6" s="23">
        <v>70</v>
      </c>
      <c r="Y6" s="23">
        <v>2</v>
      </c>
      <c r="Z6" s="23">
        <v>3</v>
      </c>
      <c r="AA6" s="23">
        <v>0</v>
      </c>
      <c r="AB6" s="87">
        <f t="shared" si="4"/>
        <v>75</v>
      </c>
      <c r="AC6" s="27">
        <v>1</v>
      </c>
      <c r="AD6" s="27">
        <v>1</v>
      </c>
      <c r="AE6" s="27">
        <v>73</v>
      </c>
      <c r="AF6" s="87">
        <f t="shared" si="5"/>
        <v>75</v>
      </c>
      <c r="AG6" s="35">
        <v>64</v>
      </c>
      <c r="AH6" s="34">
        <v>2</v>
      </c>
      <c r="AI6" s="35">
        <v>9</v>
      </c>
      <c r="AJ6" s="95">
        <f t="shared" si="6"/>
        <v>75</v>
      </c>
    </row>
    <row r="7" spans="1:36" ht="18.5" x14ac:dyDescent="0.35">
      <c r="A7" s="3" t="s">
        <v>15</v>
      </c>
      <c r="B7" s="48">
        <v>489</v>
      </c>
      <c r="C7" s="68">
        <f t="shared" si="0"/>
        <v>22</v>
      </c>
      <c r="D7" s="53">
        <v>20</v>
      </c>
      <c r="E7" s="53">
        <v>2</v>
      </c>
      <c r="F7" s="73">
        <f t="shared" si="1"/>
        <v>117</v>
      </c>
      <c r="G7" s="17">
        <v>9</v>
      </c>
      <c r="H7" s="17">
        <v>108</v>
      </c>
      <c r="I7" s="60">
        <f t="shared" si="2"/>
        <v>49</v>
      </c>
      <c r="J7" s="48">
        <v>27</v>
      </c>
      <c r="K7" s="48">
        <v>22</v>
      </c>
      <c r="L7" s="27">
        <v>20</v>
      </c>
      <c r="M7" s="27">
        <v>2</v>
      </c>
      <c r="N7" s="13">
        <v>7</v>
      </c>
      <c r="O7" s="13">
        <v>11</v>
      </c>
      <c r="P7" s="13">
        <v>2</v>
      </c>
      <c r="Q7" s="13">
        <v>2</v>
      </c>
      <c r="R7" s="88">
        <f>SUM(N7:Q7)</f>
        <v>22</v>
      </c>
      <c r="S7" s="17">
        <v>21</v>
      </c>
      <c r="T7" s="17">
        <v>1</v>
      </c>
      <c r="U7" s="17">
        <v>0</v>
      </c>
      <c r="V7" s="17">
        <v>0</v>
      </c>
      <c r="W7" s="88">
        <f t="shared" si="3"/>
        <v>22</v>
      </c>
      <c r="X7" s="23">
        <v>19</v>
      </c>
      <c r="Y7" s="23">
        <v>3</v>
      </c>
      <c r="Z7" s="23">
        <v>0</v>
      </c>
      <c r="AA7" s="23">
        <v>0</v>
      </c>
      <c r="AB7" s="87">
        <f t="shared" si="4"/>
        <v>22</v>
      </c>
      <c r="AC7" s="27">
        <v>18</v>
      </c>
      <c r="AD7" s="27">
        <v>2</v>
      </c>
      <c r="AE7" s="27">
        <v>2</v>
      </c>
      <c r="AF7" s="87">
        <f t="shared" si="5"/>
        <v>22</v>
      </c>
      <c r="AG7" s="35">
        <v>7</v>
      </c>
      <c r="AH7" s="34">
        <v>1</v>
      </c>
      <c r="AI7" s="35">
        <v>14</v>
      </c>
      <c r="AJ7" s="95">
        <f t="shared" si="6"/>
        <v>22</v>
      </c>
    </row>
    <row r="8" spans="1:36" ht="18.5" x14ac:dyDescent="0.35">
      <c r="A8" s="3" t="s">
        <v>24</v>
      </c>
      <c r="B8" s="48">
        <v>326</v>
      </c>
      <c r="C8" s="68">
        <f t="shared" si="0"/>
        <v>19</v>
      </c>
      <c r="D8" s="53">
        <v>9</v>
      </c>
      <c r="E8" s="53">
        <v>10</v>
      </c>
      <c r="F8" s="73">
        <f t="shared" si="1"/>
        <v>28</v>
      </c>
      <c r="G8" s="17">
        <v>2</v>
      </c>
      <c r="H8" s="17">
        <v>26</v>
      </c>
      <c r="I8" s="60">
        <f t="shared" si="2"/>
        <v>41</v>
      </c>
      <c r="J8" s="48">
        <v>32</v>
      </c>
      <c r="K8" s="48">
        <v>9</v>
      </c>
      <c r="L8" s="27">
        <v>9</v>
      </c>
      <c r="M8" s="27">
        <v>0</v>
      </c>
      <c r="N8" s="13">
        <v>7</v>
      </c>
      <c r="O8" s="13">
        <v>2</v>
      </c>
      <c r="P8" s="13">
        <v>0</v>
      </c>
      <c r="Q8" s="13">
        <v>0</v>
      </c>
      <c r="R8" s="88">
        <f t="shared" ref="R8:R10" si="7">SUM(N8:Q8)</f>
        <v>9</v>
      </c>
      <c r="S8" s="17">
        <v>9</v>
      </c>
      <c r="T8" s="17">
        <v>0</v>
      </c>
      <c r="U8" s="17">
        <v>0</v>
      </c>
      <c r="V8" s="17">
        <v>0</v>
      </c>
      <c r="W8" s="88">
        <f t="shared" si="3"/>
        <v>9</v>
      </c>
      <c r="X8" s="23">
        <v>9</v>
      </c>
      <c r="Y8" s="23">
        <v>0</v>
      </c>
      <c r="Z8" s="23">
        <v>0</v>
      </c>
      <c r="AA8" s="23">
        <v>0</v>
      </c>
      <c r="AB8" s="87">
        <f t="shared" si="4"/>
        <v>9</v>
      </c>
      <c r="AC8" s="27">
        <v>5</v>
      </c>
      <c r="AD8" s="27">
        <v>0</v>
      </c>
      <c r="AE8" s="27">
        <v>4</v>
      </c>
      <c r="AF8" s="87">
        <f t="shared" si="5"/>
        <v>9</v>
      </c>
      <c r="AG8" s="35">
        <v>2</v>
      </c>
      <c r="AH8" s="34">
        <v>0</v>
      </c>
      <c r="AI8" s="35">
        <v>7</v>
      </c>
      <c r="AJ8" s="95">
        <f t="shared" si="6"/>
        <v>9</v>
      </c>
    </row>
    <row r="9" spans="1:36" ht="18.5" x14ac:dyDescent="0.35">
      <c r="A9" s="3" t="s">
        <v>25</v>
      </c>
      <c r="B9" s="48">
        <v>9910</v>
      </c>
      <c r="C9" s="68">
        <f t="shared" si="0"/>
        <v>225</v>
      </c>
      <c r="D9" s="53">
        <v>195</v>
      </c>
      <c r="E9" s="53">
        <v>30</v>
      </c>
      <c r="F9" s="73">
        <f t="shared" si="1"/>
        <v>151</v>
      </c>
      <c r="G9" s="17">
        <v>24</v>
      </c>
      <c r="H9" s="17">
        <v>127</v>
      </c>
      <c r="I9" s="60">
        <f t="shared" si="2"/>
        <v>63</v>
      </c>
      <c r="J9" s="48">
        <v>38</v>
      </c>
      <c r="K9" s="48">
        <v>25</v>
      </c>
      <c r="L9" s="27">
        <v>23</v>
      </c>
      <c r="M9" s="27">
        <v>2</v>
      </c>
      <c r="N9" s="13">
        <v>18</v>
      </c>
      <c r="O9" s="13">
        <v>5</v>
      </c>
      <c r="P9" s="13">
        <v>0</v>
      </c>
      <c r="Q9" s="13">
        <v>2</v>
      </c>
      <c r="R9" s="88">
        <f t="shared" si="7"/>
        <v>25</v>
      </c>
      <c r="S9" s="17">
        <v>23</v>
      </c>
      <c r="T9" s="17">
        <v>0</v>
      </c>
      <c r="U9" s="17">
        <v>2</v>
      </c>
      <c r="V9" s="17">
        <v>0</v>
      </c>
      <c r="W9" s="88">
        <f t="shared" si="3"/>
        <v>25</v>
      </c>
      <c r="X9" s="23">
        <v>23</v>
      </c>
      <c r="Y9" s="23">
        <v>0</v>
      </c>
      <c r="Z9" s="23">
        <v>2</v>
      </c>
      <c r="AA9" s="23">
        <v>0</v>
      </c>
      <c r="AB9" s="87">
        <f t="shared" si="4"/>
        <v>25</v>
      </c>
      <c r="AC9" s="27">
        <v>13</v>
      </c>
      <c r="AD9" s="27">
        <v>0</v>
      </c>
      <c r="AE9" s="27">
        <v>12</v>
      </c>
      <c r="AF9" s="87">
        <f t="shared" si="5"/>
        <v>25</v>
      </c>
      <c r="AG9" s="35">
        <v>21</v>
      </c>
      <c r="AH9" s="34">
        <v>0</v>
      </c>
      <c r="AI9" s="35">
        <v>4</v>
      </c>
      <c r="AJ9" s="95">
        <f t="shared" si="6"/>
        <v>25</v>
      </c>
    </row>
    <row r="10" spans="1:36" ht="18.5" x14ac:dyDescent="0.35">
      <c r="A10" s="3" t="s">
        <v>26</v>
      </c>
      <c r="B10" s="48">
        <v>665</v>
      </c>
      <c r="C10" s="68">
        <f t="shared" si="0"/>
        <v>75</v>
      </c>
      <c r="D10" s="53">
        <v>17</v>
      </c>
      <c r="E10" s="53">
        <v>58</v>
      </c>
      <c r="F10" s="73">
        <f t="shared" si="1"/>
        <v>5</v>
      </c>
      <c r="G10" s="17">
        <v>3</v>
      </c>
      <c r="H10" s="17">
        <v>2</v>
      </c>
      <c r="I10" s="60">
        <f t="shared" si="2"/>
        <v>2</v>
      </c>
      <c r="J10" s="48">
        <v>0</v>
      </c>
      <c r="K10" s="48">
        <v>2</v>
      </c>
      <c r="L10" s="27">
        <v>2</v>
      </c>
      <c r="M10" s="27">
        <v>0</v>
      </c>
      <c r="N10" s="13">
        <v>0</v>
      </c>
      <c r="O10" s="13">
        <v>1</v>
      </c>
      <c r="P10" s="13">
        <v>1</v>
      </c>
      <c r="Q10" s="13">
        <v>0</v>
      </c>
      <c r="R10" s="88">
        <f t="shared" si="7"/>
        <v>2</v>
      </c>
      <c r="S10" s="17">
        <v>2</v>
      </c>
      <c r="T10" s="17">
        <v>0</v>
      </c>
      <c r="U10" s="17"/>
      <c r="V10" s="17">
        <v>0</v>
      </c>
      <c r="W10" s="88">
        <f t="shared" si="3"/>
        <v>2</v>
      </c>
      <c r="X10" s="23">
        <v>2</v>
      </c>
      <c r="Y10" s="23">
        <v>0</v>
      </c>
      <c r="Z10" s="23"/>
      <c r="AA10" s="23">
        <v>0</v>
      </c>
      <c r="AB10" s="87">
        <f t="shared" si="4"/>
        <v>2</v>
      </c>
      <c r="AC10" s="27">
        <v>1</v>
      </c>
      <c r="AD10" s="27">
        <v>1</v>
      </c>
      <c r="AE10" s="27">
        <v>0</v>
      </c>
      <c r="AF10" s="87">
        <f t="shared" si="5"/>
        <v>2</v>
      </c>
      <c r="AG10" s="35">
        <v>1</v>
      </c>
      <c r="AH10" s="34">
        <v>1</v>
      </c>
      <c r="AI10" s="35">
        <v>0</v>
      </c>
      <c r="AJ10" s="95">
        <f t="shared" si="6"/>
        <v>2</v>
      </c>
    </row>
    <row r="11" spans="1:36" s="45" customFormat="1" ht="18.5" x14ac:dyDescent="0.35">
      <c r="A11" s="41" t="s">
        <v>23</v>
      </c>
      <c r="B11" s="42">
        <f t="shared" ref="B11:AI11" si="8">SUM(B2:B10)</f>
        <v>2455166</v>
      </c>
      <c r="C11" s="42">
        <f t="shared" si="8"/>
        <v>60156</v>
      </c>
      <c r="D11" s="42">
        <f t="shared" si="8"/>
        <v>44469</v>
      </c>
      <c r="E11" s="42">
        <f t="shared" si="8"/>
        <v>15687</v>
      </c>
      <c r="F11" s="42">
        <f t="shared" si="8"/>
        <v>32423</v>
      </c>
      <c r="G11" s="42">
        <f t="shared" si="8"/>
        <v>12737</v>
      </c>
      <c r="H11" s="42">
        <f t="shared" si="8"/>
        <v>19686</v>
      </c>
      <c r="I11" s="42">
        <f t="shared" si="8"/>
        <v>52238</v>
      </c>
      <c r="J11" s="42">
        <f t="shared" si="8"/>
        <v>22459</v>
      </c>
      <c r="K11" s="42">
        <f t="shared" si="8"/>
        <v>29779</v>
      </c>
      <c r="L11" s="42">
        <f t="shared" si="8"/>
        <v>28807</v>
      </c>
      <c r="M11" s="42">
        <f t="shared" si="8"/>
        <v>972</v>
      </c>
      <c r="N11" s="42">
        <f t="shared" si="8"/>
        <v>17971</v>
      </c>
      <c r="O11" s="42">
        <f t="shared" si="8"/>
        <v>10278</v>
      </c>
      <c r="P11" s="42">
        <f t="shared" si="8"/>
        <v>558</v>
      </c>
      <c r="Q11" s="42">
        <f t="shared" si="8"/>
        <v>972</v>
      </c>
      <c r="R11" s="89">
        <f>SUM(R2:R10)</f>
        <v>29779</v>
      </c>
      <c r="S11" s="42">
        <f t="shared" si="8"/>
        <v>29051</v>
      </c>
      <c r="T11" s="42">
        <f t="shared" si="8"/>
        <v>241</v>
      </c>
      <c r="U11" s="42">
        <f>SUM(U2:U10)</f>
        <v>487</v>
      </c>
      <c r="V11" s="42">
        <f t="shared" si="8"/>
        <v>0</v>
      </c>
      <c r="W11" s="89">
        <f>SUM(W2:W10)</f>
        <v>29779</v>
      </c>
      <c r="X11" s="42">
        <f t="shared" si="8"/>
        <v>28930</v>
      </c>
      <c r="Y11" s="42">
        <f t="shared" si="8"/>
        <v>362</v>
      </c>
      <c r="Z11" s="42">
        <f>SUM(Z2:Z10)</f>
        <v>487</v>
      </c>
      <c r="AA11" s="42">
        <f t="shared" si="8"/>
        <v>0</v>
      </c>
      <c r="AB11" s="89">
        <f>SUM(AB2:AB10)</f>
        <v>29779</v>
      </c>
      <c r="AC11" s="42">
        <f t="shared" si="8"/>
        <v>10679</v>
      </c>
      <c r="AD11" s="42">
        <f t="shared" si="8"/>
        <v>536</v>
      </c>
      <c r="AE11" s="42">
        <f t="shared" si="8"/>
        <v>18564</v>
      </c>
      <c r="AF11" s="89">
        <f>SUM(AF2:AF10)</f>
        <v>29779</v>
      </c>
      <c r="AG11" s="43">
        <f t="shared" si="8"/>
        <v>26505</v>
      </c>
      <c r="AH11" s="44">
        <f t="shared" si="8"/>
        <v>466</v>
      </c>
      <c r="AI11" s="43">
        <f t="shared" si="8"/>
        <v>2808</v>
      </c>
      <c r="AJ11" s="96">
        <f>SUM(AJ2:AJ10)</f>
        <v>29779</v>
      </c>
    </row>
    <row r="12" spans="1:36" ht="18.5" x14ac:dyDescent="0.65">
      <c r="A12" s="3"/>
      <c r="B12" s="48"/>
      <c r="C12" s="68"/>
      <c r="D12" s="53"/>
      <c r="E12" s="53"/>
      <c r="F12" s="73"/>
      <c r="G12" s="17"/>
      <c r="H12" s="17"/>
      <c r="I12" s="60"/>
      <c r="J12" s="65"/>
      <c r="K12" s="65"/>
      <c r="L12" s="28"/>
      <c r="M12" s="28"/>
      <c r="N12" s="14"/>
      <c r="O12" s="14"/>
      <c r="P12" s="14"/>
      <c r="Q12" s="14"/>
      <c r="R12" s="81"/>
      <c r="S12" s="18"/>
      <c r="T12" s="18"/>
      <c r="U12" s="18"/>
      <c r="V12" s="18"/>
      <c r="W12" s="81"/>
      <c r="X12" s="22"/>
      <c r="Y12" s="22"/>
      <c r="Z12" s="22"/>
      <c r="AA12" s="23"/>
      <c r="AB12" s="80"/>
      <c r="AC12" s="27"/>
      <c r="AD12" s="27"/>
      <c r="AE12" s="27"/>
      <c r="AF12" s="80"/>
      <c r="AG12" s="35"/>
      <c r="AH12" s="34"/>
      <c r="AI12" s="35"/>
      <c r="AJ12" s="97"/>
    </row>
    <row r="13" spans="1:36" ht="85" x14ac:dyDescent="0.35">
      <c r="A13" s="6" t="s">
        <v>55</v>
      </c>
      <c r="B13" s="47" t="s">
        <v>32</v>
      </c>
      <c r="C13" s="67" t="s">
        <v>36</v>
      </c>
      <c r="D13" s="52" t="s">
        <v>31</v>
      </c>
      <c r="E13" s="52" t="s">
        <v>30</v>
      </c>
      <c r="F13" s="72" t="s">
        <v>35</v>
      </c>
      <c r="G13" s="16" t="s">
        <v>33</v>
      </c>
      <c r="H13" s="16" t="s">
        <v>34</v>
      </c>
      <c r="I13" s="59" t="s">
        <v>27</v>
      </c>
      <c r="J13" s="64" t="s">
        <v>29</v>
      </c>
      <c r="K13" s="64" t="s">
        <v>28</v>
      </c>
      <c r="L13" s="11" t="s">
        <v>37</v>
      </c>
      <c r="M13" s="11" t="s">
        <v>38</v>
      </c>
      <c r="N13" s="6" t="s">
        <v>39</v>
      </c>
      <c r="O13" s="6" t="s">
        <v>40</v>
      </c>
      <c r="P13" s="6" t="s">
        <v>41</v>
      </c>
      <c r="Q13" s="6" t="s">
        <v>42</v>
      </c>
      <c r="R13" s="6" t="s">
        <v>23</v>
      </c>
      <c r="S13" s="16" t="s">
        <v>43</v>
      </c>
      <c r="T13" s="16" t="s">
        <v>44</v>
      </c>
      <c r="U13" s="16" t="s">
        <v>61</v>
      </c>
      <c r="V13" s="16" t="s">
        <v>45</v>
      </c>
      <c r="W13" s="7" t="s">
        <v>23</v>
      </c>
      <c r="X13" s="21" t="s">
        <v>46</v>
      </c>
      <c r="Y13" s="21" t="s">
        <v>47</v>
      </c>
      <c r="Z13" s="21" t="s">
        <v>62</v>
      </c>
      <c r="AA13" s="21" t="s">
        <v>48</v>
      </c>
      <c r="AB13" s="7" t="s">
        <v>23</v>
      </c>
      <c r="AC13" s="11" t="s">
        <v>49</v>
      </c>
      <c r="AD13" s="11" t="s">
        <v>50</v>
      </c>
      <c r="AE13" s="11" t="s">
        <v>51</v>
      </c>
      <c r="AF13" s="7" t="s">
        <v>23</v>
      </c>
      <c r="AG13" s="32" t="s">
        <v>52</v>
      </c>
      <c r="AH13" s="32" t="s">
        <v>53</v>
      </c>
      <c r="AI13" s="32" t="s">
        <v>54</v>
      </c>
      <c r="AJ13" s="94" t="s">
        <v>23</v>
      </c>
    </row>
    <row r="14" spans="1:36" ht="18.5" x14ac:dyDescent="0.65">
      <c r="A14" s="4" t="s">
        <v>56</v>
      </c>
      <c r="B14" s="48">
        <v>804309</v>
      </c>
      <c r="C14" s="79">
        <f>SUM(D14:E14)</f>
        <v>18646</v>
      </c>
      <c r="D14" s="53">
        <v>13548</v>
      </c>
      <c r="E14" s="53">
        <v>5098</v>
      </c>
      <c r="F14" s="73">
        <f>SUM(G14:H14)</f>
        <v>10187</v>
      </c>
      <c r="G14" s="17">
        <v>2324</v>
      </c>
      <c r="H14" s="17">
        <v>7863</v>
      </c>
      <c r="I14" s="60">
        <f>SUM(J14:K14)</f>
        <v>12661</v>
      </c>
      <c r="J14" s="65">
        <v>5459</v>
      </c>
      <c r="K14" s="65">
        <v>7202</v>
      </c>
      <c r="L14" s="28">
        <v>6943</v>
      </c>
      <c r="M14" s="28">
        <v>259</v>
      </c>
      <c r="N14" s="14">
        <v>4269</v>
      </c>
      <c r="O14" s="14">
        <v>2526</v>
      </c>
      <c r="P14" s="14">
        <v>148</v>
      </c>
      <c r="Q14" s="14">
        <v>259</v>
      </c>
      <c r="R14" s="87">
        <f>SUM(N14:Q14)</f>
        <v>7202</v>
      </c>
      <c r="S14" s="18">
        <v>7029</v>
      </c>
      <c r="T14" s="18">
        <v>60</v>
      </c>
      <c r="U14" s="18">
        <v>113</v>
      </c>
      <c r="V14" s="18">
        <v>0</v>
      </c>
      <c r="W14" s="87">
        <f>SUM(S14:V14)</f>
        <v>7202</v>
      </c>
      <c r="X14" s="22">
        <v>6989</v>
      </c>
      <c r="Y14" s="22">
        <v>100</v>
      </c>
      <c r="Z14" s="22">
        <v>113</v>
      </c>
      <c r="AA14" s="23">
        <v>0</v>
      </c>
      <c r="AB14" s="88">
        <f>SUM(X14:AA14)</f>
        <v>7202</v>
      </c>
      <c r="AC14" s="27">
        <v>2443</v>
      </c>
      <c r="AD14" s="27">
        <v>159</v>
      </c>
      <c r="AE14" s="27">
        <v>4600</v>
      </c>
      <c r="AF14" s="88">
        <f>SUM(AC14:AE14)</f>
        <v>7202</v>
      </c>
      <c r="AG14" s="35">
        <v>6378</v>
      </c>
      <c r="AH14" s="34">
        <v>120</v>
      </c>
      <c r="AI14" s="35">
        <v>704</v>
      </c>
      <c r="AJ14" s="101">
        <f>SUM(AG14:AI14)</f>
        <v>7202</v>
      </c>
    </row>
    <row r="15" spans="1:36" ht="18.5" x14ac:dyDescent="0.65">
      <c r="A15" s="3" t="s">
        <v>57</v>
      </c>
      <c r="B15" s="48">
        <v>816902</v>
      </c>
      <c r="C15" s="68">
        <f>SUM(D15:E15)</f>
        <v>19097</v>
      </c>
      <c r="D15" s="53">
        <v>14465</v>
      </c>
      <c r="E15" s="53">
        <v>4632</v>
      </c>
      <c r="F15" s="73">
        <f>SUM(G15:H15)</f>
        <v>10619</v>
      </c>
      <c r="G15" s="17">
        <v>5351</v>
      </c>
      <c r="H15" s="17">
        <v>5268</v>
      </c>
      <c r="I15" s="60">
        <f>SUM(J15:K15)</f>
        <v>21647</v>
      </c>
      <c r="J15" s="65">
        <v>10073</v>
      </c>
      <c r="K15" s="65">
        <v>11574</v>
      </c>
      <c r="L15" s="28">
        <v>11189</v>
      </c>
      <c r="M15" s="28">
        <v>385</v>
      </c>
      <c r="N15" s="14">
        <v>7417</v>
      </c>
      <c r="O15" s="14">
        <v>3599</v>
      </c>
      <c r="P15" s="14">
        <v>173</v>
      </c>
      <c r="Q15" s="14">
        <v>385</v>
      </c>
      <c r="R15" s="87">
        <f t="shared" ref="R15:R18" si="9">SUM(N15:Q15)</f>
        <v>11574</v>
      </c>
      <c r="S15" s="18">
        <v>11278</v>
      </c>
      <c r="T15" s="18">
        <v>98</v>
      </c>
      <c r="U15" s="18">
        <v>198</v>
      </c>
      <c r="V15" s="18">
        <v>0</v>
      </c>
      <c r="W15" s="87">
        <f t="shared" ref="W15:W18" si="10">SUM(S15:V15)</f>
        <v>11574</v>
      </c>
      <c r="X15" s="22">
        <v>11232</v>
      </c>
      <c r="Y15" s="22">
        <v>144</v>
      </c>
      <c r="Z15" s="22">
        <v>198</v>
      </c>
      <c r="AA15" s="23">
        <v>0</v>
      </c>
      <c r="AB15" s="88">
        <f t="shared" ref="AB15:AB18" si="11">SUM(X15:AA15)</f>
        <v>11574</v>
      </c>
      <c r="AC15" s="27">
        <v>4264</v>
      </c>
      <c r="AD15" s="27">
        <v>200</v>
      </c>
      <c r="AE15" s="27">
        <v>7110</v>
      </c>
      <c r="AF15" s="88">
        <f t="shared" ref="AF15:AF18" si="12">SUM(AC15:AE15)</f>
        <v>11574</v>
      </c>
      <c r="AG15" s="35">
        <v>10363</v>
      </c>
      <c r="AH15" s="34">
        <v>188</v>
      </c>
      <c r="AI15" s="35">
        <v>1023</v>
      </c>
      <c r="AJ15" s="101">
        <f t="shared" ref="AJ15:AJ18" si="13">SUM(AG15:AI15)</f>
        <v>11574</v>
      </c>
    </row>
    <row r="16" spans="1:36" ht="18.5" x14ac:dyDescent="0.65">
      <c r="A16" s="3" t="s">
        <v>58</v>
      </c>
      <c r="B16" s="48">
        <v>432368</v>
      </c>
      <c r="C16" s="68">
        <f>SUM(D16:E16)</f>
        <v>10645</v>
      </c>
      <c r="D16" s="53">
        <v>7512</v>
      </c>
      <c r="E16" s="53">
        <v>3133</v>
      </c>
      <c r="F16" s="73">
        <f>SUM(G16:H16)</f>
        <v>5033</v>
      </c>
      <c r="G16" s="17">
        <v>2253</v>
      </c>
      <c r="H16" s="17">
        <v>2780</v>
      </c>
      <c r="I16" s="60">
        <f>SUM(J16:K16)</f>
        <v>7293</v>
      </c>
      <c r="J16" s="65">
        <v>2777</v>
      </c>
      <c r="K16" s="65">
        <v>4516</v>
      </c>
      <c r="L16" s="28">
        <v>4378</v>
      </c>
      <c r="M16" s="28">
        <v>138</v>
      </c>
      <c r="N16" s="14">
        <v>2424</v>
      </c>
      <c r="O16" s="14">
        <v>1843</v>
      </c>
      <c r="P16" s="14">
        <v>111</v>
      </c>
      <c r="Q16" s="14">
        <v>138</v>
      </c>
      <c r="R16" s="87">
        <f t="shared" si="9"/>
        <v>4516</v>
      </c>
      <c r="S16" s="18">
        <v>4418</v>
      </c>
      <c r="T16" s="18">
        <v>26</v>
      </c>
      <c r="U16" s="18">
        <v>72</v>
      </c>
      <c r="V16" s="18">
        <v>0</v>
      </c>
      <c r="W16" s="87">
        <f t="shared" si="10"/>
        <v>4516</v>
      </c>
      <c r="X16" s="22">
        <v>4395</v>
      </c>
      <c r="Y16" s="22">
        <v>49</v>
      </c>
      <c r="Z16" s="22">
        <v>72</v>
      </c>
      <c r="AA16" s="23">
        <v>0</v>
      </c>
      <c r="AB16" s="88">
        <f t="shared" si="11"/>
        <v>4516</v>
      </c>
      <c r="AC16" s="27">
        <v>1503</v>
      </c>
      <c r="AD16" s="27">
        <v>70</v>
      </c>
      <c r="AE16" s="27">
        <v>2943</v>
      </c>
      <c r="AF16" s="88">
        <f t="shared" si="12"/>
        <v>4516</v>
      </c>
      <c r="AG16" s="35">
        <v>4058</v>
      </c>
      <c r="AH16" s="34">
        <v>69</v>
      </c>
      <c r="AI16" s="35">
        <v>389</v>
      </c>
      <c r="AJ16" s="101">
        <f t="shared" si="13"/>
        <v>4516</v>
      </c>
    </row>
    <row r="17" spans="1:36" ht="18.5" x14ac:dyDescent="0.65">
      <c r="A17" s="3" t="s">
        <v>59</v>
      </c>
      <c r="B17" s="48">
        <v>401528</v>
      </c>
      <c r="C17" s="68">
        <f>SUM(D17:E17)</f>
        <v>11768</v>
      </c>
      <c r="D17" s="53">
        <v>8944</v>
      </c>
      <c r="E17" s="53">
        <v>2824</v>
      </c>
      <c r="F17" s="73">
        <f>SUM(G17:H17)</f>
        <v>6584</v>
      </c>
      <c r="G17" s="17">
        <v>2809</v>
      </c>
      <c r="H17" s="17">
        <v>3775</v>
      </c>
      <c r="I17" s="60">
        <f>SUM(J17:K17)</f>
        <v>10633</v>
      </c>
      <c r="J17" s="65">
        <v>4146</v>
      </c>
      <c r="K17" s="65">
        <v>6487</v>
      </c>
      <c r="L17" s="28">
        <v>6297</v>
      </c>
      <c r="M17" s="28">
        <v>190</v>
      </c>
      <c r="N17" s="14">
        <v>3861</v>
      </c>
      <c r="O17" s="14">
        <v>2310</v>
      </c>
      <c r="P17" s="14">
        <v>126</v>
      </c>
      <c r="Q17" s="14">
        <v>190</v>
      </c>
      <c r="R17" s="87">
        <f t="shared" si="9"/>
        <v>6487</v>
      </c>
      <c r="S17" s="18">
        <v>6326</v>
      </c>
      <c r="T17" s="18">
        <v>57</v>
      </c>
      <c r="U17" s="18">
        <v>104</v>
      </c>
      <c r="V17" s="18">
        <v>0</v>
      </c>
      <c r="W17" s="87">
        <f t="shared" si="10"/>
        <v>6487</v>
      </c>
      <c r="X17" s="22">
        <v>6314</v>
      </c>
      <c r="Y17" s="22">
        <v>69</v>
      </c>
      <c r="Z17" s="22">
        <v>104</v>
      </c>
      <c r="AA17" s="23">
        <v>0</v>
      </c>
      <c r="AB17" s="88">
        <f t="shared" si="11"/>
        <v>6487</v>
      </c>
      <c r="AC17" s="27">
        <v>2469</v>
      </c>
      <c r="AD17" s="27">
        <v>107</v>
      </c>
      <c r="AE17" s="27">
        <v>3911</v>
      </c>
      <c r="AF17" s="88">
        <f t="shared" si="12"/>
        <v>6487</v>
      </c>
      <c r="AG17" s="35">
        <v>5706</v>
      </c>
      <c r="AH17" s="34">
        <v>89</v>
      </c>
      <c r="AI17" s="35">
        <v>692</v>
      </c>
      <c r="AJ17" s="101">
        <f t="shared" si="13"/>
        <v>6487</v>
      </c>
    </row>
    <row r="18" spans="1:36" ht="24" x14ac:dyDescent="0.35">
      <c r="A18" s="77" t="s">
        <v>60</v>
      </c>
      <c r="B18" s="49">
        <v>59</v>
      </c>
      <c r="C18" s="69">
        <f>SUM(D18:E18)</f>
        <v>0</v>
      </c>
      <c r="D18" s="54">
        <v>0</v>
      </c>
      <c r="E18" s="54">
        <v>0</v>
      </c>
      <c r="F18" s="74">
        <f>SUM(G18:H18)</f>
        <v>0</v>
      </c>
      <c r="G18" s="57">
        <v>0</v>
      </c>
      <c r="H18" s="57">
        <v>0</v>
      </c>
      <c r="I18" s="61">
        <f>SUM(J18:K18)</f>
        <v>4</v>
      </c>
      <c r="J18" s="49">
        <v>4</v>
      </c>
      <c r="K18" s="49">
        <v>0</v>
      </c>
      <c r="L18" s="29">
        <v>0</v>
      </c>
      <c r="M18" s="29">
        <v>0</v>
      </c>
      <c r="N18" s="5">
        <v>0</v>
      </c>
      <c r="O18" s="5">
        <v>0</v>
      </c>
      <c r="P18" s="5">
        <v>0</v>
      </c>
      <c r="Q18" s="5">
        <v>0</v>
      </c>
      <c r="R18" s="87">
        <f t="shared" si="9"/>
        <v>0</v>
      </c>
      <c r="S18" s="57">
        <v>0</v>
      </c>
      <c r="T18" s="57">
        <v>0</v>
      </c>
      <c r="U18" s="57">
        <v>0</v>
      </c>
      <c r="V18" s="57">
        <v>0</v>
      </c>
      <c r="W18" s="87">
        <f t="shared" si="10"/>
        <v>0</v>
      </c>
      <c r="X18" s="25">
        <v>0</v>
      </c>
      <c r="Y18" s="25">
        <v>0</v>
      </c>
      <c r="Z18" s="25">
        <v>0</v>
      </c>
      <c r="AA18" s="25">
        <v>0</v>
      </c>
      <c r="AB18" s="88">
        <f t="shared" si="11"/>
        <v>0</v>
      </c>
      <c r="AC18" s="29">
        <v>0</v>
      </c>
      <c r="AD18" s="29">
        <v>0</v>
      </c>
      <c r="AE18" s="29">
        <v>0</v>
      </c>
      <c r="AF18" s="88">
        <f t="shared" si="12"/>
        <v>0</v>
      </c>
      <c r="AG18" s="36">
        <v>0</v>
      </c>
      <c r="AH18" s="37">
        <v>0</v>
      </c>
      <c r="AI18" s="36">
        <v>0</v>
      </c>
      <c r="AJ18" s="101">
        <f t="shared" si="13"/>
        <v>0</v>
      </c>
    </row>
    <row r="19" spans="1:36" s="78" customFormat="1" ht="18.5" x14ac:dyDescent="0.65">
      <c r="A19" s="41" t="s">
        <v>23</v>
      </c>
      <c r="B19" s="102">
        <f>SUM(B14:B18)</f>
        <v>2455166</v>
      </c>
      <c r="C19" s="102">
        <f>SUM(C14:C18)</f>
        <v>60156</v>
      </c>
      <c r="D19" s="102">
        <f>SUM(D14:D18)</f>
        <v>44469</v>
      </c>
      <c r="E19" s="102">
        <f>SUM(E14:E18)</f>
        <v>15687</v>
      </c>
      <c r="F19" s="102">
        <f>SUM(F14:F18)</f>
        <v>32423</v>
      </c>
      <c r="G19" s="102">
        <f>SUM(G14:G18)</f>
        <v>12737</v>
      </c>
      <c r="H19" s="102">
        <f>SUM(H14:H18)</f>
        <v>19686</v>
      </c>
      <c r="I19" s="102">
        <f>SUM(I14:I18)</f>
        <v>52238</v>
      </c>
      <c r="J19" s="103">
        <f>SUM(J14:J18)</f>
        <v>22459</v>
      </c>
      <c r="K19" s="103">
        <f>SUM(K14:K18)</f>
        <v>29779</v>
      </c>
      <c r="L19" s="103">
        <f>SUM(L14:L18)</f>
        <v>28807</v>
      </c>
      <c r="M19" s="103">
        <f>SUM(M14:M18)</f>
        <v>972</v>
      </c>
      <c r="N19" s="103">
        <f>SUM(N14:N18)</f>
        <v>17971</v>
      </c>
      <c r="O19" s="103">
        <f>SUM(O14:O18)</f>
        <v>10278</v>
      </c>
      <c r="P19" s="103">
        <f>SUM(P14:P18)</f>
        <v>558</v>
      </c>
      <c r="Q19" s="103">
        <f>SUM(Q14:Q18)</f>
        <v>972</v>
      </c>
      <c r="R19" s="92">
        <f>SUM(R14:R18)</f>
        <v>29779</v>
      </c>
      <c r="S19" s="103">
        <f>SUM(S14:S18)</f>
        <v>29051</v>
      </c>
      <c r="T19" s="103">
        <f>SUM(T14:T18)</f>
        <v>241</v>
      </c>
      <c r="U19" s="103">
        <f>SUM(U14:U18)</f>
        <v>487</v>
      </c>
      <c r="V19" s="103">
        <f>SUM(V14:V18)</f>
        <v>0</v>
      </c>
      <c r="W19" s="92">
        <f>SUM(W14:W18)</f>
        <v>29779</v>
      </c>
      <c r="X19" s="103">
        <f>SUM(X14:X18)</f>
        <v>28930</v>
      </c>
      <c r="Y19" s="103">
        <f>SUM(Y14:Y18)</f>
        <v>362</v>
      </c>
      <c r="Z19" s="103">
        <f>SUM(Z14:Z18)</f>
        <v>487</v>
      </c>
      <c r="AA19" s="102">
        <f>SUM(AA14:AA18)</f>
        <v>0</v>
      </c>
      <c r="AB19" s="93">
        <f>SUM(AB14:AB18)</f>
        <v>29779</v>
      </c>
      <c r="AC19" s="102">
        <f>SUM(AC14:AC18)</f>
        <v>10679</v>
      </c>
      <c r="AD19" s="102">
        <f>SUM(AD14:AD18)</f>
        <v>536</v>
      </c>
      <c r="AE19" s="102">
        <f>SUM(AE14:AE18)</f>
        <v>18564</v>
      </c>
      <c r="AF19" s="93">
        <f>SUM(AF14:AF18)</f>
        <v>29779</v>
      </c>
      <c r="AG19" s="104">
        <f>SUM(AG14:AG18)</f>
        <v>26505</v>
      </c>
      <c r="AH19" s="105">
        <f>SUM(AH14:AH18)</f>
        <v>466</v>
      </c>
      <c r="AI19" s="104">
        <f>SUM(AI14:AI18)</f>
        <v>2808</v>
      </c>
      <c r="AJ19" s="106">
        <f>SUM(AJ14:AJ18)</f>
        <v>29779</v>
      </c>
    </row>
    <row r="20" spans="1:36" ht="18.5" x14ac:dyDescent="0.65">
      <c r="A20" s="3"/>
      <c r="B20" s="49"/>
      <c r="C20" s="69"/>
      <c r="D20" s="54"/>
      <c r="E20" s="54"/>
      <c r="F20" s="74"/>
      <c r="G20" s="57"/>
      <c r="H20" s="57"/>
      <c r="I20" s="61"/>
      <c r="J20" s="66"/>
      <c r="K20" s="66"/>
      <c r="L20" s="30"/>
      <c r="M20" s="30"/>
      <c r="N20" s="12"/>
      <c r="O20" s="12"/>
      <c r="P20" s="12"/>
      <c r="Q20" s="12"/>
      <c r="R20" s="83"/>
      <c r="S20" s="19"/>
      <c r="T20" s="19"/>
      <c r="U20" s="19"/>
      <c r="V20" s="19"/>
      <c r="W20" s="83"/>
      <c r="X20" s="24"/>
      <c r="Y20" s="24"/>
      <c r="Z20" s="24"/>
      <c r="AA20" s="25"/>
      <c r="AB20" s="82"/>
      <c r="AC20" s="29"/>
      <c r="AD20" s="29"/>
      <c r="AE20" s="29"/>
      <c r="AF20" s="82"/>
      <c r="AG20" s="36"/>
      <c r="AH20" s="37"/>
      <c r="AI20" s="36"/>
      <c r="AJ20" s="98"/>
    </row>
    <row r="21" spans="1:36" ht="18.5" x14ac:dyDescent="0.65">
      <c r="A21" s="3"/>
      <c r="B21" s="49"/>
      <c r="C21" s="69"/>
      <c r="D21" s="54"/>
      <c r="E21" s="54"/>
      <c r="F21" s="74"/>
      <c r="G21" s="57"/>
      <c r="H21" s="57"/>
      <c r="I21" s="61"/>
      <c r="J21" s="66"/>
      <c r="K21" s="66"/>
      <c r="L21" s="30"/>
      <c r="M21" s="30"/>
      <c r="N21" s="12"/>
      <c r="O21" s="12"/>
      <c r="P21" s="12"/>
      <c r="Q21" s="12"/>
      <c r="R21" s="83"/>
      <c r="S21" s="19"/>
      <c r="T21" s="19"/>
      <c r="U21" s="19"/>
      <c r="V21" s="19"/>
      <c r="W21" s="83"/>
      <c r="X21" s="24"/>
      <c r="Y21" s="24"/>
      <c r="Z21" s="24"/>
      <c r="AA21" s="24"/>
      <c r="AB21" s="83"/>
      <c r="AC21" s="30"/>
      <c r="AD21" s="30"/>
      <c r="AE21" s="30"/>
      <c r="AF21" s="83"/>
      <c r="AG21" s="38"/>
      <c r="AH21" s="39"/>
      <c r="AI21" s="38"/>
      <c r="AJ21" s="99"/>
    </row>
    <row r="22" spans="1:36" ht="18.5" x14ac:dyDescent="0.65">
      <c r="A22" s="2"/>
      <c r="B22" s="49"/>
      <c r="C22" s="69"/>
      <c r="D22" s="54"/>
      <c r="E22" s="54"/>
      <c r="F22" s="74"/>
      <c r="G22" s="57"/>
      <c r="H22" s="57"/>
      <c r="I22" s="61"/>
      <c r="J22" s="66"/>
      <c r="K22" s="66"/>
      <c r="L22" s="30"/>
      <c r="M22" s="30"/>
      <c r="N22" s="12"/>
      <c r="O22" s="12"/>
      <c r="P22" s="12"/>
      <c r="Q22" s="12"/>
      <c r="R22" s="83"/>
      <c r="S22" s="19"/>
      <c r="T22" s="19"/>
      <c r="U22" s="19"/>
      <c r="V22" s="19"/>
      <c r="W22" s="83"/>
      <c r="X22" s="24"/>
      <c r="Y22" s="24"/>
      <c r="Z22" s="24"/>
      <c r="AA22" s="24"/>
      <c r="AB22" s="83"/>
      <c r="AC22" s="30"/>
      <c r="AD22" s="30"/>
      <c r="AE22" s="30"/>
      <c r="AF22" s="83"/>
      <c r="AG22" s="38"/>
      <c r="AH22" s="39"/>
      <c r="AI22" s="38"/>
      <c r="AJ22" s="99"/>
    </row>
    <row r="23" spans="1:36" ht="18.5" x14ac:dyDescent="0.65">
      <c r="A23" s="2"/>
      <c r="B23" s="49"/>
      <c r="C23" s="69"/>
      <c r="D23" s="54"/>
      <c r="E23" s="54"/>
      <c r="F23" s="74"/>
      <c r="G23" s="57"/>
      <c r="H23" s="57"/>
      <c r="I23" s="61"/>
      <c r="J23" s="66"/>
      <c r="K23" s="66"/>
      <c r="L23" s="30"/>
      <c r="M23" s="30"/>
      <c r="N23" s="12"/>
      <c r="O23" s="12"/>
      <c r="P23" s="12"/>
      <c r="Q23" s="12"/>
      <c r="R23" s="83"/>
      <c r="S23" s="19"/>
      <c r="T23" s="19"/>
      <c r="U23" s="19"/>
      <c r="V23" s="19"/>
      <c r="W23" s="83"/>
      <c r="X23" s="24"/>
      <c r="Y23" s="24"/>
      <c r="Z23" s="24"/>
      <c r="AA23" s="24"/>
      <c r="AB23" s="83"/>
      <c r="AC23" s="30"/>
      <c r="AD23" s="30"/>
      <c r="AE23" s="30"/>
      <c r="AF23" s="83"/>
      <c r="AG23" s="38"/>
      <c r="AH23" s="39"/>
      <c r="AI23" s="38"/>
      <c r="AJ23" s="99"/>
    </row>
    <row r="24" spans="1:36" ht="18.5" x14ac:dyDescent="0.65">
      <c r="A24" s="2"/>
      <c r="B24" s="49"/>
      <c r="C24" s="69"/>
      <c r="D24" s="54"/>
      <c r="E24" s="54"/>
      <c r="F24" s="74"/>
      <c r="G24" s="57"/>
      <c r="H24" s="57"/>
      <c r="I24" s="61"/>
      <c r="J24" s="66"/>
      <c r="K24" s="66"/>
      <c r="L24" s="30"/>
      <c r="M24" s="30"/>
      <c r="N24" s="12"/>
      <c r="O24" s="12"/>
      <c r="P24" s="12"/>
      <c r="Q24" s="12"/>
      <c r="R24" s="83"/>
      <c r="S24" s="19"/>
      <c r="T24" s="19"/>
      <c r="U24" s="19"/>
      <c r="V24" s="19"/>
      <c r="W24" s="83"/>
      <c r="X24" s="24"/>
      <c r="Y24" s="24"/>
      <c r="Z24" s="24"/>
      <c r="AA24" s="24"/>
      <c r="AB24" s="83"/>
      <c r="AC24" s="30"/>
      <c r="AD24" s="30"/>
      <c r="AE24" s="30"/>
      <c r="AF24" s="83"/>
      <c r="AG24" s="38"/>
      <c r="AH24" s="39"/>
      <c r="AI24" s="38"/>
      <c r="AJ24" s="99"/>
    </row>
    <row r="25" spans="1:36" ht="18.5" x14ac:dyDescent="0.65">
      <c r="A25" s="2"/>
      <c r="B25" s="49"/>
      <c r="C25" s="69"/>
      <c r="D25" s="54"/>
      <c r="E25" s="54"/>
      <c r="F25" s="74"/>
      <c r="G25" s="57"/>
      <c r="H25" s="57"/>
      <c r="I25" s="61"/>
      <c r="J25" s="66"/>
      <c r="K25" s="66"/>
      <c r="L25" s="30"/>
      <c r="M25" s="30"/>
      <c r="N25" s="12"/>
      <c r="O25" s="12"/>
      <c r="P25" s="12"/>
      <c r="Q25" s="12"/>
      <c r="R25" s="83"/>
      <c r="S25" s="19"/>
      <c r="T25" s="19"/>
      <c r="U25" s="19"/>
      <c r="V25" s="19"/>
      <c r="W25" s="83"/>
      <c r="X25" s="24"/>
      <c r="Y25" s="24"/>
      <c r="Z25" s="24"/>
      <c r="AA25" s="24"/>
      <c r="AB25" s="83"/>
      <c r="AC25" s="30"/>
      <c r="AD25" s="30"/>
      <c r="AE25" s="30"/>
      <c r="AF25" s="83"/>
      <c r="AG25" s="38"/>
      <c r="AH25" s="39"/>
      <c r="AI25" s="38"/>
      <c r="AJ25" s="99"/>
    </row>
    <row r="26" spans="1:36" ht="18.5" x14ac:dyDescent="0.65">
      <c r="A26" s="2"/>
      <c r="B26" s="49"/>
      <c r="C26" s="69"/>
      <c r="D26" s="54"/>
      <c r="E26" s="54"/>
      <c r="F26" s="74"/>
      <c r="G26" s="57"/>
      <c r="H26" s="57"/>
      <c r="I26" s="61"/>
      <c r="J26" s="66"/>
      <c r="K26" s="66"/>
      <c r="L26" s="30"/>
      <c r="M26" s="30"/>
      <c r="N26" s="12"/>
      <c r="O26" s="12"/>
      <c r="P26" s="12"/>
      <c r="Q26" s="12"/>
      <c r="R26" s="83"/>
      <c r="S26" s="19"/>
      <c r="T26" s="19"/>
      <c r="U26" s="19"/>
      <c r="V26" s="19"/>
      <c r="W26" s="83"/>
      <c r="X26" s="24"/>
      <c r="Y26" s="24"/>
      <c r="Z26" s="24"/>
      <c r="AA26" s="24"/>
      <c r="AB26" s="83"/>
      <c r="AC26" s="30"/>
      <c r="AD26" s="30"/>
      <c r="AE26" s="30"/>
      <c r="AF26" s="83"/>
      <c r="AG26" s="38"/>
      <c r="AH26" s="39"/>
      <c r="AI26" s="38"/>
      <c r="AJ26" s="99"/>
    </row>
    <row r="27" spans="1:36" ht="18.5" x14ac:dyDescent="0.65">
      <c r="A27" s="2"/>
      <c r="B27" s="49"/>
      <c r="C27" s="69"/>
      <c r="D27" s="54"/>
      <c r="E27" s="54"/>
      <c r="F27" s="74"/>
      <c r="G27" s="57"/>
      <c r="H27" s="57"/>
      <c r="I27" s="61"/>
      <c r="J27" s="66"/>
      <c r="K27" s="66"/>
      <c r="L27" s="30"/>
      <c r="M27" s="30"/>
      <c r="N27" s="12"/>
      <c r="O27" s="12"/>
      <c r="P27" s="12"/>
      <c r="Q27" s="12"/>
      <c r="R27" s="83"/>
      <c r="S27" s="19"/>
      <c r="T27" s="19"/>
      <c r="U27" s="19"/>
      <c r="V27" s="19"/>
      <c r="W27" s="83"/>
      <c r="X27" s="24"/>
      <c r="Y27" s="24"/>
      <c r="Z27" s="24"/>
      <c r="AA27" s="24"/>
      <c r="AB27" s="83"/>
      <c r="AC27" s="30"/>
      <c r="AD27" s="30"/>
      <c r="AE27" s="30"/>
      <c r="AF27" s="83"/>
      <c r="AG27" s="38"/>
      <c r="AH27" s="39"/>
      <c r="AI27" s="38"/>
      <c r="AJ27" s="99"/>
    </row>
    <row r="28" spans="1:36" ht="18.5" x14ac:dyDescent="0.65">
      <c r="A28" s="2"/>
      <c r="B28" s="49"/>
      <c r="C28" s="69"/>
      <c r="D28" s="54"/>
      <c r="E28" s="54"/>
      <c r="F28" s="74"/>
      <c r="G28" s="57"/>
      <c r="H28" s="57"/>
      <c r="I28" s="61"/>
      <c r="J28" s="66"/>
      <c r="K28" s="66"/>
      <c r="L28" s="30"/>
      <c r="M28" s="30"/>
      <c r="N28" s="12"/>
      <c r="O28" s="12"/>
      <c r="P28" s="12"/>
      <c r="Q28" s="12"/>
      <c r="R28" s="83"/>
      <c r="S28" s="19"/>
      <c r="T28" s="19"/>
      <c r="U28" s="19"/>
      <c r="V28" s="19"/>
      <c r="W28" s="83"/>
      <c r="X28" s="24"/>
      <c r="Y28" s="24"/>
      <c r="Z28" s="24"/>
      <c r="AA28" s="24"/>
      <c r="AB28" s="83"/>
      <c r="AC28" s="30"/>
      <c r="AD28" s="30"/>
      <c r="AE28" s="30"/>
      <c r="AF28" s="83"/>
      <c r="AG28" s="38"/>
      <c r="AH28" s="39"/>
      <c r="AI28" s="38"/>
      <c r="AJ28" s="99"/>
    </row>
    <row r="29" spans="1:36" ht="18.5" x14ac:dyDescent="0.65">
      <c r="A29" s="2"/>
      <c r="B29" s="49"/>
      <c r="C29" s="69"/>
      <c r="D29" s="54"/>
      <c r="E29" s="54"/>
      <c r="F29" s="74"/>
      <c r="G29" s="57"/>
      <c r="H29" s="57"/>
      <c r="I29" s="61"/>
      <c r="J29" s="66"/>
      <c r="K29" s="66"/>
      <c r="L29" s="30"/>
      <c r="M29" s="30"/>
      <c r="N29" s="12"/>
      <c r="O29" s="12"/>
      <c r="P29" s="12"/>
      <c r="Q29" s="12"/>
      <c r="R29" s="83"/>
      <c r="S29" s="19"/>
      <c r="T29" s="19"/>
      <c r="U29" s="19"/>
      <c r="V29" s="19"/>
      <c r="W29" s="83"/>
      <c r="X29" s="24"/>
      <c r="Y29" s="24"/>
      <c r="Z29" s="24"/>
      <c r="AA29" s="24"/>
      <c r="AB29" s="83"/>
      <c r="AC29" s="30"/>
      <c r="AD29" s="30"/>
      <c r="AE29" s="30"/>
      <c r="AF29" s="83"/>
      <c r="AG29" s="38"/>
      <c r="AH29" s="39"/>
      <c r="AI29" s="38"/>
      <c r="AJ29" s="99"/>
    </row>
    <row r="30" spans="1:36" ht="18.5" x14ac:dyDescent="0.65">
      <c r="A30" s="2"/>
      <c r="B30" s="49"/>
      <c r="C30" s="69"/>
      <c r="D30" s="54"/>
      <c r="E30" s="54"/>
      <c r="F30" s="74"/>
      <c r="G30" s="57"/>
      <c r="H30" s="57"/>
      <c r="I30" s="61"/>
      <c r="J30" s="66"/>
      <c r="K30" s="66"/>
      <c r="L30" s="30"/>
      <c r="M30" s="30"/>
      <c r="N30" s="12"/>
      <c r="O30" s="12"/>
      <c r="P30" s="12"/>
      <c r="Q30" s="12"/>
      <c r="R30" s="83"/>
      <c r="S30" s="19"/>
      <c r="T30" s="19"/>
      <c r="U30" s="19"/>
      <c r="V30" s="19"/>
      <c r="W30" s="83"/>
      <c r="X30" s="24"/>
      <c r="Y30" s="24"/>
      <c r="Z30" s="24"/>
      <c r="AA30" s="24"/>
      <c r="AB30" s="83"/>
      <c r="AC30" s="30"/>
      <c r="AD30" s="30"/>
      <c r="AE30" s="30"/>
      <c r="AF30" s="83"/>
      <c r="AG30" s="38"/>
      <c r="AH30" s="39"/>
      <c r="AI30" s="38"/>
      <c r="AJ30" s="99"/>
    </row>
    <row r="31" spans="1:36" ht="18.5" x14ac:dyDescent="0.65">
      <c r="A31" s="2"/>
      <c r="B31" s="49"/>
      <c r="C31" s="69"/>
      <c r="D31" s="54"/>
      <c r="E31" s="54"/>
      <c r="F31" s="74"/>
      <c r="G31" s="57"/>
      <c r="H31" s="57"/>
      <c r="I31" s="61"/>
      <c r="J31" s="66"/>
      <c r="K31" s="66"/>
      <c r="L31" s="30"/>
      <c r="M31" s="30"/>
      <c r="N31" s="12"/>
      <c r="O31" s="12"/>
      <c r="P31" s="12"/>
      <c r="Q31" s="12"/>
      <c r="R31" s="83"/>
      <c r="S31" s="19"/>
      <c r="T31" s="19"/>
      <c r="U31" s="19"/>
      <c r="V31" s="19"/>
      <c r="W31" s="83"/>
      <c r="X31" s="24"/>
      <c r="Y31" s="24"/>
      <c r="Z31" s="24"/>
      <c r="AA31" s="24"/>
      <c r="AB31" s="83"/>
      <c r="AC31" s="30"/>
      <c r="AD31" s="30"/>
      <c r="AE31" s="30"/>
      <c r="AF31" s="83"/>
      <c r="AG31" s="38"/>
      <c r="AH31" s="39"/>
      <c r="AI31" s="38"/>
      <c r="AJ31" s="99"/>
    </row>
    <row r="32" spans="1:36" ht="18.5" x14ac:dyDescent="0.65">
      <c r="A32" s="2"/>
      <c r="B32" s="49"/>
      <c r="C32" s="69"/>
      <c r="D32" s="54"/>
      <c r="E32" s="54"/>
      <c r="F32" s="74"/>
      <c r="G32" s="57"/>
      <c r="H32" s="57"/>
      <c r="I32" s="61"/>
      <c r="J32" s="66"/>
      <c r="K32" s="66"/>
      <c r="L32" s="30"/>
      <c r="M32" s="30"/>
      <c r="N32" s="12"/>
      <c r="O32" s="12"/>
      <c r="P32" s="12"/>
      <c r="Q32" s="12"/>
      <c r="R32" s="83"/>
      <c r="S32" s="19"/>
      <c r="T32" s="19"/>
      <c r="U32" s="19"/>
      <c r="V32" s="19"/>
      <c r="W32" s="83"/>
      <c r="X32" s="24"/>
      <c r="Y32" s="24"/>
      <c r="Z32" s="24"/>
      <c r="AA32" s="24"/>
      <c r="AB32" s="83"/>
      <c r="AC32" s="30"/>
      <c r="AD32" s="30"/>
      <c r="AE32" s="30"/>
      <c r="AF32" s="83"/>
      <c r="AG32" s="38"/>
      <c r="AH32" s="39"/>
      <c r="AI32" s="38"/>
      <c r="AJ32" s="99"/>
    </row>
    <row r="33" spans="1:36" ht="18.5" x14ac:dyDescent="0.65">
      <c r="A33" s="2"/>
      <c r="B33" s="49"/>
      <c r="C33" s="69"/>
      <c r="D33" s="54"/>
      <c r="E33" s="54"/>
      <c r="F33" s="74"/>
      <c r="G33" s="57"/>
      <c r="H33" s="57"/>
      <c r="I33" s="61"/>
      <c r="J33" s="66"/>
      <c r="K33" s="66"/>
      <c r="L33" s="30"/>
      <c r="M33" s="30"/>
      <c r="N33" s="12"/>
      <c r="O33" s="12"/>
      <c r="P33" s="12"/>
      <c r="Q33" s="12"/>
      <c r="R33" s="83"/>
      <c r="S33" s="19"/>
      <c r="T33" s="19"/>
      <c r="U33" s="19"/>
      <c r="V33" s="19"/>
      <c r="W33" s="83"/>
      <c r="X33" s="24"/>
      <c r="Y33" s="24"/>
      <c r="Z33" s="24"/>
      <c r="AA33" s="24"/>
      <c r="AB33" s="83"/>
      <c r="AC33" s="30"/>
      <c r="AD33" s="30"/>
      <c r="AE33" s="30"/>
      <c r="AF33" s="83"/>
      <c r="AG33" s="38"/>
      <c r="AH33" s="39"/>
      <c r="AI33" s="38"/>
      <c r="AJ33" s="99"/>
    </row>
    <row r="34" spans="1:36" ht="18.5" x14ac:dyDescent="0.65">
      <c r="A34" s="2"/>
      <c r="B34" s="49"/>
      <c r="C34" s="69"/>
      <c r="D34" s="54"/>
      <c r="E34" s="54"/>
      <c r="F34" s="74"/>
      <c r="G34" s="57"/>
      <c r="H34" s="57"/>
      <c r="I34" s="61"/>
      <c r="J34" s="66"/>
      <c r="K34" s="66"/>
      <c r="L34" s="30"/>
      <c r="M34" s="30"/>
      <c r="N34" s="12"/>
      <c r="O34" s="12"/>
      <c r="P34" s="12"/>
      <c r="Q34" s="12"/>
      <c r="R34" s="83"/>
      <c r="S34" s="19"/>
      <c r="T34" s="19"/>
      <c r="U34" s="19"/>
      <c r="V34" s="19"/>
      <c r="W34" s="83"/>
      <c r="X34" s="24"/>
      <c r="Y34" s="24"/>
      <c r="Z34" s="24"/>
      <c r="AA34" s="24"/>
      <c r="AB34" s="83"/>
      <c r="AC34" s="30"/>
      <c r="AD34" s="30"/>
      <c r="AE34" s="30"/>
      <c r="AF34" s="83"/>
      <c r="AG34" s="38"/>
      <c r="AH34" s="39"/>
      <c r="AI34" s="38"/>
      <c r="AJ34" s="99"/>
    </row>
    <row r="35" spans="1:36" ht="18.5" x14ac:dyDescent="0.65">
      <c r="A35" s="2"/>
      <c r="B35" s="49"/>
      <c r="C35" s="69"/>
      <c r="D35" s="54"/>
      <c r="E35" s="54"/>
      <c r="F35" s="74"/>
      <c r="G35" s="57"/>
      <c r="H35" s="57"/>
      <c r="I35" s="61"/>
      <c r="J35" s="66"/>
      <c r="K35" s="66"/>
      <c r="L35" s="30"/>
      <c r="M35" s="30"/>
      <c r="N35" s="12"/>
      <c r="O35" s="12"/>
      <c r="P35" s="12"/>
      <c r="Q35" s="12"/>
      <c r="R35" s="83"/>
      <c r="S35" s="19"/>
      <c r="T35" s="19"/>
      <c r="U35" s="19"/>
      <c r="V35" s="19"/>
      <c r="W35" s="83"/>
      <c r="X35" s="24"/>
      <c r="Y35" s="24"/>
      <c r="Z35" s="24"/>
      <c r="AA35" s="24"/>
      <c r="AB35" s="83"/>
      <c r="AC35" s="30"/>
      <c r="AD35" s="30"/>
      <c r="AE35" s="30"/>
      <c r="AF35" s="83"/>
      <c r="AG35" s="38"/>
      <c r="AH35" s="39"/>
      <c r="AI35" s="38"/>
      <c r="AJ35" s="99"/>
    </row>
    <row r="36" spans="1:36" ht="18.5" x14ac:dyDescent="0.65">
      <c r="A36" s="2"/>
      <c r="B36" s="49"/>
      <c r="C36" s="69"/>
      <c r="D36" s="54"/>
      <c r="E36" s="54"/>
      <c r="F36" s="74"/>
      <c r="G36" s="57"/>
      <c r="H36" s="57"/>
      <c r="I36" s="61"/>
      <c r="J36" s="66"/>
      <c r="K36" s="66"/>
      <c r="L36" s="30"/>
      <c r="M36" s="30"/>
      <c r="N36" s="12"/>
      <c r="O36" s="12"/>
      <c r="P36" s="12"/>
      <c r="Q36" s="12"/>
      <c r="R36" s="83"/>
      <c r="S36" s="19"/>
      <c r="T36" s="19"/>
      <c r="U36" s="19"/>
      <c r="V36" s="19"/>
      <c r="W36" s="83"/>
      <c r="X36" s="24"/>
      <c r="Y36" s="24"/>
      <c r="Z36" s="24"/>
      <c r="AA36" s="24"/>
      <c r="AB36" s="83"/>
      <c r="AC36" s="30"/>
      <c r="AD36" s="30"/>
      <c r="AE36" s="30"/>
      <c r="AF36" s="83"/>
      <c r="AG36" s="38"/>
      <c r="AH36" s="39"/>
      <c r="AI36" s="38"/>
      <c r="AJ36" s="99"/>
    </row>
    <row r="37" spans="1:36" ht="18.5" x14ac:dyDescent="0.65">
      <c r="A37" s="2"/>
      <c r="B37" s="49"/>
      <c r="C37" s="69"/>
      <c r="D37" s="54"/>
      <c r="E37" s="54"/>
      <c r="F37" s="74"/>
      <c r="G37" s="57"/>
      <c r="H37" s="57"/>
      <c r="I37" s="61"/>
      <c r="J37" s="66"/>
      <c r="K37" s="66"/>
      <c r="L37" s="30"/>
      <c r="M37" s="30"/>
      <c r="N37" s="12"/>
      <c r="O37" s="12"/>
      <c r="P37" s="12"/>
      <c r="Q37" s="12"/>
      <c r="R37" s="83"/>
      <c r="S37" s="19"/>
      <c r="T37" s="19"/>
      <c r="U37" s="19"/>
      <c r="V37" s="19"/>
      <c r="W37" s="83"/>
      <c r="X37" s="24"/>
      <c r="Y37" s="24"/>
      <c r="Z37" s="24"/>
      <c r="AA37" s="24"/>
      <c r="AB37" s="83"/>
      <c r="AC37" s="30"/>
      <c r="AD37" s="30"/>
      <c r="AE37" s="30"/>
      <c r="AF37" s="83"/>
      <c r="AG37" s="38"/>
      <c r="AH37" s="39"/>
      <c r="AI37" s="38"/>
      <c r="AJ37" s="99"/>
    </row>
    <row r="38" spans="1:36" ht="18.5" x14ac:dyDescent="0.65">
      <c r="A38" s="2"/>
      <c r="B38" s="49"/>
      <c r="C38" s="69"/>
      <c r="D38" s="54"/>
      <c r="E38" s="54"/>
      <c r="F38" s="74"/>
      <c r="G38" s="57"/>
      <c r="H38" s="57"/>
      <c r="I38" s="61"/>
      <c r="J38" s="66"/>
      <c r="K38" s="66"/>
      <c r="L38" s="30"/>
      <c r="M38" s="30"/>
      <c r="N38" s="12"/>
      <c r="O38" s="12"/>
      <c r="P38" s="12"/>
      <c r="Q38" s="12"/>
      <c r="R38" s="83"/>
      <c r="S38" s="19"/>
      <c r="T38" s="19"/>
      <c r="U38" s="19"/>
      <c r="V38" s="19"/>
      <c r="W38" s="83"/>
      <c r="X38" s="24"/>
      <c r="Y38" s="24"/>
      <c r="Z38" s="24"/>
      <c r="AA38" s="24"/>
      <c r="AB38" s="83"/>
      <c r="AC38" s="30"/>
      <c r="AD38" s="30"/>
      <c r="AE38" s="30"/>
      <c r="AF38" s="83"/>
      <c r="AG38" s="38"/>
      <c r="AH38" s="39"/>
      <c r="AI38" s="38"/>
      <c r="AJ38" s="99"/>
    </row>
    <row r="39" spans="1:36" ht="18.5" x14ac:dyDescent="0.65">
      <c r="A39" s="2"/>
      <c r="B39" s="49"/>
      <c r="C39" s="69"/>
      <c r="D39" s="54"/>
      <c r="E39" s="54"/>
      <c r="F39" s="74"/>
      <c r="G39" s="57"/>
      <c r="H39" s="57"/>
      <c r="I39" s="61"/>
      <c r="J39" s="66"/>
      <c r="K39" s="66"/>
      <c r="L39" s="30"/>
      <c r="M39" s="30"/>
      <c r="N39" s="12"/>
      <c r="O39" s="12"/>
      <c r="P39" s="12"/>
      <c r="Q39" s="12"/>
      <c r="R39" s="83"/>
      <c r="S39" s="19"/>
      <c r="T39" s="19"/>
      <c r="U39" s="19"/>
      <c r="V39" s="19"/>
      <c r="W39" s="83"/>
      <c r="X39" s="24"/>
      <c r="Y39" s="24"/>
      <c r="Z39" s="24"/>
      <c r="AA39" s="24"/>
      <c r="AB39" s="83"/>
      <c r="AC39" s="30"/>
      <c r="AD39" s="30"/>
      <c r="AE39" s="30"/>
      <c r="AF39" s="83"/>
      <c r="AG39" s="38"/>
      <c r="AH39" s="39"/>
      <c r="AI39" s="38"/>
      <c r="AJ39" s="99"/>
    </row>
    <row r="40" spans="1:36" ht="18.5" x14ac:dyDescent="0.65">
      <c r="A40" s="2"/>
      <c r="B40" s="49"/>
      <c r="C40" s="69"/>
      <c r="D40" s="54"/>
      <c r="E40" s="54"/>
      <c r="F40" s="74"/>
      <c r="G40" s="57"/>
      <c r="H40" s="57"/>
      <c r="I40" s="61"/>
      <c r="J40" s="66"/>
      <c r="K40" s="66"/>
      <c r="L40" s="30"/>
      <c r="M40" s="30"/>
      <c r="N40" s="12"/>
      <c r="O40" s="12"/>
      <c r="P40" s="12"/>
      <c r="Q40" s="12"/>
      <c r="R40" s="83"/>
      <c r="S40" s="19"/>
      <c r="T40" s="19"/>
      <c r="U40" s="19"/>
      <c r="V40" s="19"/>
      <c r="W40" s="83"/>
      <c r="X40" s="24"/>
      <c r="Y40" s="24"/>
      <c r="Z40" s="24"/>
      <c r="AA40" s="24"/>
      <c r="AB40" s="83"/>
      <c r="AC40" s="30"/>
      <c r="AD40" s="30"/>
      <c r="AE40" s="30"/>
      <c r="AF40" s="83"/>
      <c r="AG40" s="38"/>
      <c r="AH40" s="39"/>
      <c r="AI40" s="38"/>
      <c r="AJ40" s="99"/>
    </row>
    <row r="41" spans="1:36" ht="18.5" x14ac:dyDescent="0.65">
      <c r="A41" s="2"/>
      <c r="B41" s="50"/>
      <c r="C41" s="70"/>
      <c r="D41" s="55"/>
      <c r="E41" s="55"/>
      <c r="F41" s="75"/>
      <c r="G41" s="58"/>
      <c r="H41" s="58"/>
      <c r="I41" s="62"/>
      <c r="AH41" s="39"/>
      <c r="AI41" s="38"/>
      <c r="AJ41" s="99"/>
    </row>
    <row r="42" spans="1:36" ht="18.5" x14ac:dyDescent="0.65">
      <c r="A42" s="2"/>
      <c r="B42" s="50"/>
      <c r="C42" s="70"/>
      <c r="D42" s="55"/>
      <c r="E42" s="55"/>
      <c r="F42" s="75"/>
      <c r="G42" s="58"/>
      <c r="H42" s="58"/>
      <c r="I42" s="62"/>
      <c r="AH42" s="39"/>
      <c r="AI42" s="38"/>
      <c r="AJ42" s="99"/>
    </row>
    <row r="43" spans="1:36" ht="18.5" x14ac:dyDescent="0.65">
      <c r="A43" s="2"/>
      <c r="B43" s="50"/>
      <c r="C43" s="70"/>
      <c r="D43" s="55"/>
      <c r="E43" s="55"/>
      <c r="F43" s="75"/>
      <c r="G43" s="58"/>
      <c r="H43" s="58"/>
      <c r="I43" s="62"/>
      <c r="AH43" s="39"/>
      <c r="AI43" s="38"/>
      <c r="AJ43" s="99"/>
    </row>
    <row r="44" spans="1:36" ht="18.5" x14ac:dyDescent="0.65">
      <c r="A44" s="2"/>
      <c r="B44" s="50"/>
      <c r="C44" s="70"/>
      <c r="D44" s="55"/>
      <c r="E44" s="55"/>
      <c r="F44" s="75"/>
      <c r="G44" s="58"/>
      <c r="H44" s="58"/>
      <c r="I44" s="62"/>
      <c r="AH44" s="39"/>
      <c r="AI44" s="38"/>
      <c r="AJ44" s="99"/>
    </row>
    <row r="45" spans="1:36" ht="18.5" x14ac:dyDescent="0.65">
      <c r="A45" s="2"/>
      <c r="B45" s="50"/>
      <c r="C45" s="70"/>
      <c r="D45" s="55"/>
      <c r="E45" s="55"/>
      <c r="F45" s="75"/>
      <c r="G45" s="58"/>
      <c r="H45" s="58"/>
      <c r="I45" s="62"/>
      <c r="AH45" s="39"/>
      <c r="AI45" s="38"/>
      <c r="AJ45" s="99"/>
    </row>
    <row r="46" spans="1:36" ht="18.5" x14ac:dyDescent="0.65">
      <c r="A46" s="2"/>
      <c r="B46" s="50"/>
      <c r="C46" s="70"/>
      <c r="D46" s="55"/>
      <c r="E46" s="55"/>
      <c r="F46" s="75"/>
      <c r="G46" s="58"/>
      <c r="H46" s="58"/>
      <c r="I46" s="62"/>
      <c r="AH46" s="39"/>
      <c r="AI46" s="38"/>
      <c r="AJ46" s="99"/>
    </row>
    <row r="47" spans="1:36" ht="18.5" x14ac:dyDescent="0.65">
      <c r="A47" s="2"/>
      <c r="B47" s="50"/>
      <c r="C47" s="70"/>
      <c r="D47" s="55"/>
      <c r="E47" s="55"/>
      <c r="F47" s="75"/>
      <c r="G47" s="58"/>
      <c r="H47" s="58"/>
      <c r="I47" s="62"/>
      <c r="AH47" s="39"/>
      <c r="AI47" s="38"/>
      <c r="AJ47" s="99"/>
    </row>
    <row r="48" spans="1:36" ht="18.5" x14ac:dyDescent="0.65">
      <c r="A48" s="2"/>
      <c r="B48" s="50"/>
      <c r="C48" s="70"/>
      <c r="D48" s="55"/>
      <c r="E48" s="55"/>
      <c r="F48" s="75"/>
      <c r="G48" s="58"/>
      <c r="H48" s="58"/>
      <c r="I48" s="62"/>
      <c r="AH48" s="39"/>
      <c r="AI48" s="38"/>
      <c r="AJ48" s="99"/>
    </row>
    <row r="49" spans="1:36" ht="18.5" x14ac:dyDescent="0.65">
      <c r="A49" s="2"/>
      <c r="B49" s="50"/>
      <c r="C49" s="70"/>
      <c r="D49" s="55"/>
      <c r="E49" s="55"/>
      <c r="F49" s="75"/>
      <c r="G49" s="58"/>
      <c r="H49" s="58"/>
      <c r="I49" s="62"/>
      <c r="AH49" s="39"/>
      <c r="AI49" s="38"/>
      <c r="AJ49" s="99"/>
    </row>
    <row r="50" spans="1:36" ht="18.5" x14ac:dyDescent="0.65">
      <c r="A50" s="2"/>
      <c r="B50" s="50"/>
      <c r="C50" s="70"/>
      <c r="D50" s="55"/>
      <c r="E50" s="55"/>
      <c r="F50" s="75"/>
      <c r="G50" s="58"/>
      <c r="H50" s="58"/>
      <c r="I50" s="62"/>
      <c r="AH50" s="39"/>
      <c r="AI50" s="38"/>
      <c r="AJ50" s="99"/>
    </row>
    <row r="51" spans="1:36" ht="18.5" x14ac:dyDescent="0.65">
      <c r="A51" s="2"/>
      <c r="B51" s="50"/>
      <c r="C51" s="70"/>
      <c r="D51" s="55"/>
      <c r="E51" s="55"/>
      <c r="F51" s="75"/>
      <c r="G51" s="58"/>
      <c r="H51" s="58"/>
      <c r="I51" s="62"/>
      <c r="AH51" s="39"/>
      <c r="AI51" s="38"/>
      <c r="AJ51" s="99"/>
    </row>
    <row r="52" spans="1:36" ht="18.5" x14ac:dyDescent="0.65">
      <c r="A52" s="2"/>
      <c r="B52" s="50"/>
      <c r="C52" s="70"/>
      <c r="D52" s="55"/>
      <c r="E52" s="55"/>
      <c r="F52" s="75"/>
      <c r="G52" s="58"/>
      <c r="H52" s="58"/>
      <c r="I52" s="62"/>
      <c r="AH52" s="39"/>
      <c r="AI52" s="38"/>
      <c r="AJ52" s="99"/>
    </row>
    <row r="53" spans="1:36" ht="18.5" x14ac:dyDescent="0.65">
      <c r="A53" s="2"/>
      <c r="B53" s="50"/>
      <c r="C53" s="70"/>
      <c r="D53" s="55"/>
      <c r="E53" s="55"/>
      <c r="F53" s="75"/>
      <c r="G53" s="58"/>
      <c r="H53" s="58"/>
      <c r="I53" s="62"/>
      <c r="AH53" s="39"/>
      <c r="AI53" s="38"/>
      <c r="AJ53" s="99"/>
    </row>
    <row r="54" spans="1:36" ht="18.5" x14ac:dyDescent="0.65">
      <c r="A54" s="2"/>
      <c r="B54" s="50"/>
      <c r="C54" s="70"/>
      <c r="D54" s="55"/>
      <c r="E54" s="55"/>
      <c r="F54" s="75"/>
      <c r="G54" s="58"/>
      <c r="H54" s="58"/>
      <c r="I54" s="62"/>
      <c r="AH54" s="39"/>
      <c r="AI54" s="38"/>
      <c r="AJ54" s="99"/>
    </row>
    <row r="55" spans="1:36" ht="18.5" x14ac:dyDescent="0.65">
      <c r="A55" s="2"/>
      <c r="B55" s="50"/>
      <c r="C55" s="70"/>
      <c r="D55" s="55"/>
      <c r="E55" s="55"/>
      <c r="F55" s="75"/>
      <c r="G55" s="58"/>
      <c r="H55" s="58"/>
      <c r="I55" s="62"/>
      <c r="AH55" s="39"/>
      <c r="AI55" s="38"/>
      <c r="AJ55" s="99"/>
    </row>
    <row r="56" spans="1:36" ht="18.5" x14ac:dyDescent="0.65">
      <c r="A56" s="2"/>
      <c r="B56" s="50"/>
      <c r="C56" s="70"/>
      <c r="D56" s="55"/>
      <c r="E56" s="55"/>
      <c r="F56" s="75"/>
      <c r="G56" s="58"/>
      <c r="H56" s="58"/>
      <c r="I56" s="62"/>
      <c r="AH56" s="39"/>
      <c r="AI56" s="38"/>
      <c r="AJ56" s="99"/>
    </row>
    <row r="57" spans="1:36" ht="18.5" x14ac:dyDescent="0.65">
      <c r="A57" s="2"/>
      <c r="B57" s="50"/>
      <c r="C57" s="70"/>
      <c r="D57" s="55"/>
      <c r="E57" s="55"/>
      <c r="F57" s="75"/>
      <c r="G57" s="58"/>
      <c r="H57" s="58"/>
      <c r="I57" s="62"/>
      <c r="AH57" s="39"/>
      <c r="AI57" s="38"/>
      <c r="AJ57" s="99"/>
    </row>
    <row r="58" spans="1:36" ht="18.5" x14ac:dyDescent="0.65">
      <c r="A58" s="2"/>
      <c r="B58" s="50"/>
      <c r="C58" s="70"/>
      <c r="D58" s="55"/>
      <c r="E58" s="55"/>
      <c r="F58" s="75"/>
      <c r="G58" s="58"/>
      <c r="H58" s="58"/>
      <c r="I58" s="62"/>
      <c r="AH58" s="39"/>
      <c r="AI58" s="38"/>
      <c r="AJ58" s="99"/>
    </row>
    <row r="59" spans="1:36" ht="18.5" x14ac:dyDescent="0.65">
      <c r="A59" s="2"/>
      <c r="B59" s="50"/>
      <c r="C59" s="70"/>
      <c r="D59" s="55"/>
      <c r="E59" s="55"/>
      <c r="F59" s="75"/>
      <c r="G59" s="58"/>
      <c r="H59" s="58"/>
      <c r="I59" s="62"/>
      <c r="AH59" s="39"/>
      <c r="AI59" s="38"/>
      <c r="AJ59" s="99"/>
    </row>
    <row r="60" spans="1:36" ht="18.5" x14ac:dyDescent="0.65">
      <c r="A60" s="2"/>
      <c r="B60" s="50"/>
      <c r="C60" s="70"/>
      <c r="D60" s="55"/>
      <c r="E60" s="55"/>
      <c r="F60" s="75"/>
      <c r="G60" s="58"/>
      <c r="H60" s="58"/>
      <c r="I60" s="62"/>
      <c r="AH60" s="39"/>
      <c r="AI60" s="38"/>
      <c r="AJ60" s="99"/>
    </row>
    <row r="61" spans="1:36" ht="18.5" x14ac:dyDescent="0.65">
      <c r="A61" s="2"/>
      <c r="B61" s="50"/>
      <c r="C61" s="70"/>
      <c r="D61" s="55"/>
      <c r="E61" s="55"/>
      <c r="F61" s="75"/>
      <c r="G61" s="58"/>
      <c r="H61" s="58"/>
      <c r="I61" s="62"/>
      <c r="AH61" s="39"/>
      <c r="AI61" s="38"/>
      <c r="AJ61" s="99"/>
    </row>
    <row r="62" spans="1:36" ht="18.5" x14ac:dyDescent="0.65">
      <c r="A62" s="2"/>
      <c r="B62" s="50"/>
      <c r="C62" s="70"/>
      <c r="D62" s="55"/>
      <c r="E62" s="55"/>
      <c r="F62" s="75"/>
      <c r="G62" s="58"/>
      <c r="H62" s="58"/>
      <c r="I62" s="62"/>
      <c r="AH62" s="39"/>
      <c r="AI62" s="38"/>
      <c r="AJ62" s="99"/>
    </row>
    <row r="63" spans="1:36" ht="18.5" x14ac:dyDescent="0.65">
      <c r="A63" s="2"/>
      <c r="B63" s="50"/>
      <c r="C63" s="70"/>
      <c r="D63" s="55"/>
      <c r="E63" s="55"/>
      <c r="F63" s="75"/>
      <c r="G63" s="58"/>
      <c r="H63" s="58"/>
      <c r="I63" s="62"/>
      <c r="AH63" s="39"/>
      <c r="AI63" s="38"/>
      <c r="AJ63" s="99"/>
    </row>
    <row r="64" spans="1:36" ht="18.5" x14ac:dyDescent="0.65">
      <c r="A64" s="2"/>
      <c r="B64" s="50"/>
      <c r="C64" s="70"/>
      <c r="D64" s="55"/>
      <c r="E64" s="55"/>
      <c r="F64" s="75"/>
      <c r="G64" s="58"/>
      <c r="H64" s="58"/>
      <c r="I64" s="62"/>
      <c r="AH64" s="39"/>
      <c r="AI64" s="38"/>
      <c r="AJ64" s="99"/>
    </row>
    <row r="65" spans="1:36" ht="18.5" x14ac:dyDescent="0.65">
      <c r="A65" s="2"/>
      <c r="B65" s="50"/>
      <c r="C65" s="70"/>
      <c r="D65" s="55"/>
      <c r="E65" s="55"/>
      <c r="F65" s="75"/>
      <c r="G65" s="58"/>
      <c r="H65" s="58"/>
      <c r="I65" s="62"/>
      <c r="AH65" s="39"/>
      <c r="AI65" s="38"/>
      <c r="AJ65" s="99"/>
    </row>
    <row r="66" spans="1:36" ht="18.5" x14ac:dyDescent="0.65">
      <c r="A66" s="2"/>
      <c r="B66" s="50"/>
      <c r="C66" s="70"/>
      <c r="D66" s="55"/>
      <c r="E66" s="55"/>
      <c r="F66" s="75"/>
      <c r="G66" s="58"/>
      <c r="H66" s="58"/>
      <c r="I66" s="62"/>
      <c r="AH66" s="39"/>
      <c r="AI66" s="38"/>
      <c r="AJ66" s="99"/>
    </row>
    <row r="67" spans="1:36" ht="18.5" x14ac:dyDescent="0.65">
      <c r="A67" s="2"/>
      <c r="B67" s="50"/>
      <c r="C67" s="70"/>
      <c r="D67" s="55"/>
      <c r="E67" s="55"/>
      <c r="F67" s="75"/>
      <c r="G67" s="58"/>
      <c r="H67" s="58"/>
      <c r="I67" s="62"/>
      <c r="AH67" s="39"/>
      <c r="AI67" s="38"/>
      <c r="AJ67" s="99"/>
    </row>
    <row r="68" spans="1:36" ht="18.5" x14ac:dyDescent="0.65">
      <c r="A68" s="2"/>
      <c r="B68" s="50"/>
      <c r="C68" s="70"/>
      <c r="D68" s="55"/>
      <c r="E68" s="55"/>
      <c r="F68" s="75"/>
      <c r="G68" s="58"/>
      <c r="H68" s="58"/>
      <c r="I68" s="62"/>
      <c r="AH68" s="39"/>
      <c r="AI68" s="38"/>
      <c r="AJ68" s="99"/>
    </row>
    <row r="69" spans="1:36" ht="18.5" x14ac:dyDescent="0.65">
      <c r="A69" s="2"/>
      <c r="B69" s="50"/>
      <c r="C69" s="70"/>
      <c r="D69" s="55"/>
      <c r="E69" s="55"/>
      <c r="F69" s="75"/>
      <c r="G69" s="58"/>
      <c r="H69" s="58"/>
      <c r="I69" s="62"/>
      <c r="AH69" s="39"/>
      <c r="AI69" s="38"/>
      <c r="AJ69" s="99"/>
    </row>
    <row r="70" spans="1:36" ht="18.5" x14ac:dyDescent="0.65">
      <c r="A70" s="2"/>
      <c r="B70" s="50"/>
      <c r="C70" s="70"/>
      <c r="D70" s="55"/>
      <c r="E70" s="55"/>
      <c r="F70" s="75"/>
      <c r="G70" s="58"/>
      <c r="H70" s="58"/>
      <c r="I70" s="62"/>
      <c r="AH70" s="39"/>
      <c r="AI70" s="38"/>
      <c r="AJ70" s="99"/>
    </row>
    <row r="71" spans="1:36" ht="18.5" x14ac:dyDescent="0.65">
      <c r="A71" s="2"/>
      <c r="B71" s="50"/>
      <c r="C71" s="70"/>
      <c r="D71" s="55"/>
      <c r="E71" s="55"/>
      <c r="F71" s="75"/>
      <c r="G71" s="58"/>
      <c r="H71" s="58"/>
      <c r="I71" s="62"/>
      <c r="AH71" s="39"/>
      <c r="AI71" s="38"/>
      <c r="AJ71" s="99"/>
    </row>
    <row r="72" spans="1:36" ht="18.5" x14ac:dyDescent="0.65">
      <c r="A72" s="2"/>
      <c r="B72" s="50"/>
      <c r="C72" s="70"/>
      <c r="D72" s="55"/>
      <c r="E72" s="55"/>
      <c r="F72" s="75"/>
      <c r="G72" s="58"/>
      <c r="H72" s="58"/>
      <c r="I72" s="62"/>
      <c r="AH72" s="39"/>
      <c r="AI72" s="38"/>
      <c r="AJ72" s="99"/>
    </row>
    <row r="73" spans="1:36" ht="18.5" x14ac:dyDescent="0.65">
      <c r="A73" s="2"/>
      <c r="B73" s="50"/>
      <c r="C73" s="70"/>
      <c r="D73" s="55"/>
      <c r="E73" s="55"/>
      <c r="F73" s="75"/>
      <c r="G73" s="58"/>
      <c r="H73" s="58"/>
      <c r="I73" s="62"/>
      <c r="AH73" s="39"/>
      <c r="AI73" s="38"/>
      <c r="AJ73" s="99"/>
    </row>
    <row r="74" spans="1:36" ht="18.5" x14ac:dyDescent="0.65">
      <c r="A74" s="2"/>
      <c r="B74" s="50"/>
      <c r="C74" s="70"/>
      <c r="D74" s="55"/>
      <c r="E74" s="55"/>
      <c r="F74" s="75"/>
      <c r="G74" s="58"/>
      <c r="H74" s="58"/>
      <c r="I74" s="62"/>
      <c r="AH74" s="39"/>
      <c r="AI74" s="38"/>
      <c r="AJ74" s="99"/>
    </row>
    <row r="75" spans="1:36" ht="18.5" x14ac:dyDescent="0.65">
      <c r="A75" s="2"/>
      <c r="B75" s="50"/>
      <c r="C75" s="70"/>
      <c r="D75" s="55"/>
      <c r="E75" s="55"/>
      <c r="F75" s="75"/>
      <c r="G75" s="58"/>
      <c r="H75" s="58"/>
      <c r="I75" s="62"/>
      <c r="AH75" s="39"/>
      <c r="AI75" s="38"/>
      <c r="AJ75" s="99"/>
    </row>
    <row r="76" spans="1:36" ht="18.5" x14ac:dyDescent="0.65">
      <c r="A76" s="2"/>
      <c r="B76" s="50"/>
      <c r="C76" s="70"/>
      <c r="D76" s="55"/>
      <c r="E76" s="55"/>
      <c r="F76" s="75"/>
      <c r="G76" s="58"/>
      <c r="H76" s="58"/>
      <c r="I76" s="62"/>
      <c r="AH76" s="39"/>
      <c r="AI76" s="38"/>
      <c r="AJ76" s="99"/>
    </row>
    <row r="77" spans="1:36" ht="18.5" x14ac:dyDescent="0.65">
      <c r="A77" s="2"/>
      <c r="B77" s="50"/>
      <c r="C77" s="70"/>
      <c r="D77" s="55"/>
      <c r="E77" s="55"/>
      <c r="F77" s="75"/>
      <c r="G77" s="58"/>
      <c r="H77" s="58"/>
      <c r="I77" s="62"/>
      <c r="AH77" s="39"/>
      <c r="AI77" s="38"/>
      <c r="AJ77" s="99"/>
    </row>
    <row r="78" spans="1:36" ht="18.5" x14ac:dyDescent="0.65">
      <c r="A78" s="2"/>
      <c r="B78" s="50"/>
      <c r="C78" s="70"/>
      <c r="D78" s="55"/>
      <c r="E78" s="55"/>
      <c r="F78" s="75"/>
      <c r="G78" s="58"/>
      <c r="H78" s="58"/>
      <c r="I78" s="62"/>
      <c r="AH78" s="39"/>
      <c r="AI78" s="38"/>
      <c r="AJ78" s="99"/>
    </row>
    <row r="79" spans="1:36" ht="18.5" x14ac:dyDescent="0.65">
      <c r="A79" s="2"/>
      <c r="B79" s="50"/>
      <c r="C79" s="70"/>
      <c r="D79" s="55"/>
      <c r="E79" s="55"/>
      <c r="F79" s="75"/>
      <c r="G79" s="58"/>
      <c r="H79" s="58"/>
      <c r="I79" s="62"/>
      <c r="AH79" s="39"/>
      <c r="AI79" s="38"/>
      <c r="AJ79" s="99"/>
    </row>
    <row r="80" spans="1:36" ht="18.5" x14ac:dyDescent="0.65">
      <c r="A80" s="2"/>
      <c r="B80" s="50"/>
      <c r="C80" s="70"/>
      <c r="D80" s="55"/>
      <c r="E80" s="55"/>
      <c r="F80" s="75"/>
      <c r="G80" s="58"/>
      <c r="H80" s="58"/>
      <c r="I80" s="62"/>
      <c r="AH80" s="39"/>
      <c r="AI80" s="38"/>
      <c r="AJ80" s="99"/>
    </row>
    <row r="81" spans="1:36" ht="18.5" x14ac:dyDescent="0.65">
      <c r="A81" s="2"/>
      <c r="B81" s="50"/>
      <c r="C81" s="70"/>
      <c r="D81" s="55"/>
      <c r="E81" s="55"/>
      <c r="F81" s="75"/>
      <c r="G81" s="58"/>
      <c r="H81" s="58"/>
      <c r="I81" s="62"/>
      <c r="AH81" s="39"/>
      <c r="AI81" s="38"/>
      <c r="AJ81" s="99"/>
    </row>
    <row r="82" spans="1:36" ht="18.5" x14ac:dyDescent="0.65">
      <c r="A82" s="2"/>
      <c r="B82" s="50"/>
      <c r="C82" s="70"/>
      <c r="D82" s="55"/>
      <c r="E82" s="55"/>
      <c r="F82" s="75"/>
      <c r="G82" s="58"/>
      <c r="H82" s="58"/>
      <c r="I82" s="62"/>
      <c r="AH82" s="39"/>
      <c r="AI82" s="38"/>
      <c r="AJ82" s="99"/>
    </row>
    <row r="83" spans="1:36" ht="18.5" x14ac:dyDescent="0.65">
      <c r="A83" s="2"/>
      <c r="B83" s="50"/>
      <c r="C83" s="70"/>
      <c r="D83" s="55"/>
      <c r="E83" s="55"/>
      <c r="F83" s="75"/>
      <c r="G83" s="58"/>
      <c r="H83" s="58"/>
      <c r="I83" s="62"/>
      <c r="AH83" s="39"/>
      <c r="AI83" s="38"/>
      <c r="AJ83" s="99"/>
    </row>
    <row r="84" spans="1:36" ht="18.5" x14ac:dyDescent="0.65">
      <c r="A84" s="2"/>
      <c r="B84" s="50"/>
      <c r="C84" s="70"/>
      <c r="D84" s="55"/>
      <c r="E84" s="55"/>
      <c r="F84" s="75"/>
      <c r="G84" s="58"/>
      <c r="H84" s="58"/>
      <c r="I84" s="62"/>
      <c r="AH84" s="39"/>
      <c r="AI84" s="38"/>
      <c r="AJ84" s="99"/>
    </row>
    <row r="85" spans="1:36" ht="18.5" x14ac:dyDescent="0.65">
      <c r="A85" s="2"/>
      <c r="B85" s="50"/>
      <c r="C85" s="70"/>
      <c r="D85" s="55"/>
      <c r="E85" s="55"/>
      <c r="F85" s="75"/>
      <c r="G85" s="58"/>
      <c r="H85" s="58"/>
      <c r="I85" s="62"/>
      <c r="AH85" s="39"/>
      <c r="AI85" s="38"/>
      <c r="AJ85" s="99"/>
    </row>
    <row r="86" spans="1:36" ht="18.5" x14ac:dyDescent="0.65">
      <c r="A86" s="2"/>
      <c r="B86" s="50"/>
      <c r="C86" s="70"/>
      <c r="D86" s="55"/>
      <c r="E86" s="55"/>
      <c r="F86" s="75"/>
      <c r="G86" s="58"/>
      <c r="H86" s="58"/>
      <c r="I86" s="62"/>
      <c r="AH86" s="39"/>
      <c r="AI86" s="38"/>
      <c r="AJ86" s="99"/>
    </row>
    <row r="87" spans="1:36" ht="18.5" x14ac:dyDescent="0.65">
      <c r="A87" s="2"/>
      <c r="B87" s="50"/>
      <c r="C87" s="70"/>
      <c r="D87" s="55"/>
      <c r="E87" s="55"/>
      <c r="F87" s="75"/>
      <c r="G87" s="58"/>
      <c r="H87" s="58"/>
      <c r="I87" s="62"/>
      <c r="AH87" s="39"/>
      <c r="AI87" s="38"/>
      <c r="AJ87" s="99"/>
    </row>
    <row r="88" spans="1:36" ht="18.5" x14ac:dyDescent="0.65">
      <c r="A88" s="2"/>
      <c r="B88" s="50"/>
      <c r="C88" s="70"/>
      <c r="D88" s="55"/>
      <c r="E88" s="55"/>
      <c r="F88" s="75"/>
      <c r="G88" s="58"/>
      <c r="H88" s="58"/>
      <c r="I88" s="62"/>
      <c r="AH88" s="39"/>
      <c r="AI88" s="38"/>
      <c r="AJ88" s="99"/>
    </row>
    <row r="89" spans="1:36" ht="18.5" x14ac:dyDescent="0.65">
      <c r="A89" s="2"/>
      <c r="B89" s="50"/>
      <c r="C89" s="70"/>
      <c r="D89" s="55"/>
      <c r="E89" s="55"/>
      <c r="F89" s="75"/>
      <c r="G89" s="58"/>
      <c r="H89" s="58"/>
      <c r="I89" s="62"/>
      <c r="AH89" s="39"/>
      <c r="AI89" s="38"/>
      <c r="AJ89" s="99"/>
    </row>
    <row r="90" spans="1:36" ht="18.5" x14ac:dyDescent="0.65">
      <c r="A90" s="2"/>
      <c r="B90" s="50"/>
      <c r="C90" s="70"/>
      <c r="D90" s="55"/>
      <c r="E90" s="55"/>
      <c r="F90" s="75"/>
      <c r="G90" s="58"/>
      <c r="H90" s="58"/>
      <c r="I90" s="62"/>
      <c r="AH90" s="39"/>
      <c r="AI90" s="38"/>
      <c r="AJ90" s="99"/>
    </row>
    <row r="91" spans="1:36" ht="17" x14ac:dyDescent="0.6">
      <c r="A91" s="2"/>
      <c r="B91" s="50"/>
      <c r="C91" s="70"/>
      <c r="D91" s="55"/>
      <c r="E91" s="55"/>
      <c r="F91" s="75"/>
      <c r="G91" s="58"/>
      <c r="H91" s="58"/>
      <c r="I91" s="62"/>
      <c r="AH91" s="40"/>
    </row>
    <row r="92" spans="1:36" ht="17" x14ac:dyDescent="0.6">
      <c r="A92" s="2"/>
      <c r="B92" s="50"/>
      <c r="C92" s="70"/>
      <c r="D92" s="55"/>
      <c r="E92" s="55"/>
      <c r="F92" s="75"/>
      <c r="G92" s="58"/>
      <c r="H92" s="58"/>
      <c r="I92" s="62"/>
      <c r="AH92" s="40"/>
    </row>
    <row r="93" spans="1:36" x14ac:dyDescent="0.35">
      <c r="A93" s="2"/>
      <c r="B93" s="50"/>
      <c r="C93" s="70"/>
      <c r="D93" s="55"/>
      <c r="E93" s="55"/>
      <c r="F93" s="75"/>
      <c r="G93" s="58"/>
      <c r="H93" s="58"/>
      <c r="I93" s="62"/>
    </row>
    <row r="94" spans="1:36" x14ac:dyDescent="0.35">
      <c r="A94" s="2"/>
      <c r="B94" s="50"/>
      <c r="C94" s="70"/>
      <c r="D94" s="55"/>
      <c r="E94" s="55"/>
      <c r="F94" s="75"/>
      <c r="G94" s="58"/>
      <c r="H94" s="58"/>
      <c r="I94" s="62"/>
    </row>
    <row r="95" spans="1:36" x14ac:dyDescent="0.35">
      <c r="A95" s="2"/>
      <c r="B95" s="50"/>
      <c r="C95" s="70"/>
      <c r="D95" s="55"/>
      <c r="E95" s="55"/>
      <c r="F95" s="75"/>
      <c r="G95" s="58"/>
      <c r="H95" s="58"/>
      <c r="I95" s="62"/>
    </row>
    <row r="96" spans="1:36" x14ac:dyDescent="0.35">
      <c r="A96" s="2"/>
      <c r="B96" s="50"/>
      <c r="C96" s="70"/>
      <c r="D96" s="55"/>
      <c r="E96" s="55"/>
      <c r="F96" s="75"/>
      <c r="G96" s="58"/>
      <c r="H96" s="58"/>
      <c r="I96" s="62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3A38C-1D8F-4CF0-90DE-2C1598B3F64F}">
  <dimension ref="A1:AJ96"/>
  <sheetViews>
    <sheetView topLeftCell="A7" workbookViewId="0">
      <pane xSplit="1" topLeftCell="B1" activePane="topRight" state="frozen"/>
      <selection pane="topRight" activeCell="AI18" sqref="AI18"/>
    </sheetView>
  </sheetViews>
  <sheetFormatPr defaultRowHeight="14.5" x14ac:dyDescent="0.35"/>
  <cols>
    <col min="1" max="1" width="24.36328125" customWidth="1"/>
    <col min="2" max="2" width="14.6328125" style="51" customWidth="1"/>
    <col min="3" max="3" width="13.08984375" style="71" customWidth="1"/>
    <col min="4" max="5" width="13.90625" style="56" customWidth="1"/>
    <col min="6" max="6" width="13.453125" style="76" customWidth="1"/>
    <col min="7" max="7" width="14.36328125" style="15" customWidth="1"/>
    <col min="8" max="8" width="13.36328125" style="15" customWidth="1"/>
    <col min="9" max="9" width="14.36328125" style="63" customWidth="1"/>
    <col min="10" max="10" width="14.453125" style="51" customWidth="1"/>
    <col min="11" max="11" width="14.26953125" style="51" customWidth="1"/>
    <col min="12" max="12" width="14" style="26" customWidth="1"/>
    <col min="13" max="13" width="13.36328125" style="26" customWidth="1"/>
    <col min="14" max="17" width="8.81640625" bestFit="1" customWidth="1"/>
    <col min="18" max="18" width="8.81640625" style="10" customWidth="1"/>
    <col min="19" max="20" width="8.81640625" style="15" bestFit="1" customWidth="1"/>
    <col min="21" max="21" width="8.81640625" style="15" customWidth="1"/>
    <col min="22" max="22" width="8.81640625" style="15" bestFit="1" customWidth="1"/>
    <col min="23" max="23" width="8.81640625" style="10" customWidth="1"/>
    <col min="24" max="24" width="10.08984375" style="20" bestFit="1" customWidth="1"/>
    <col min="25" max="25" width="8.81640625" style="20" bestFit="1" customWidth="1"/>
    <col min="26" max="26" width="8.81640625" style="20" customWidth="1"/>
    <col min="27" max="27" width="8.81640625" style="20" bestFit="1" customWidth="1"/>
    <col min="28" max="28" width="8.81640625" style="10" customWidth="1"/>
    <col min="29" max="30" width="8.81640625" style="26" bestFit="1" customWidth="1"/>
    <col min="31" max="31" width="10.08984375" style="26" bestFit="1" customWidth="1"/>
    <col min="32" max="32" width="10.08984375" style="10" customWidth="1"/>
    <col min="33" max="33" width="10.08984375" style="31" bestFit="1" customWidth="1"/>
    <col min="34" max="35" width="8.7265625" style="31"/>
    <col min="36" max="36" width="8.7265625" style="100"/>
  </cols>
  <sheetData>
    <row r="1" spans="1:36" s="10" customFormat="1" ht="85" x14ac:dyDescent="0.35">
      <c r="A1" s="6" t="s">
        <v>1</v>
      </c>
      <c r="B1" s="47" t="s">
        <v>32</v>
      </c>
      <c r="C1" s="67" t="s">
        <v>36</v>
      </c>
      <c r="D1" s="52" t="s">
        <v>31</v>
      </c>
      <c r="E1" s="52" t="s">
        <v>30</v>
      </c>
      <c r="F1" s="72" t="s">
        <v>35</v>
      </c>
      <c r="G1" s="16" t="s">
        <v>33</v>
      </c>
      <c r="H1" s="16" t="s">
        <v>34</v>
      </c>
      <c r="I1" s="59" t="s">
        <v>27</v>
      </c>
      <c r="J1" s="64" t="s">
        <v>29</v>
      </c>
      <c r="K1" s="64" t="s">
        <v>28</v>
      </c>
      <c r="L1" s="11" t="s">
        <v>37</v>
      </c>
      <c r="M1" s="11" t="s">
        <v>38</v>
      </c>
      <c r="N1" s="6" t="s">
        <v>39</v>
      </c>
      <c r="O1" s="6" t="s">
        <v>40</v>
      </c>
      <c r="P1" s="6" t="s">
        <v>41</v>
      </c>
      <c r="Q1" s="6" t="s">
        <v>42</v>
      </c>
      <c r="R1" s="6" t="s">
        <v>23</v>
      </c>
      <c r="S1" s="16" t="s">
        <v>43</v>
      </c>
      <c r="T1" s="16" t="s">
        <v>44</v>
      </c>
      <c r="U1" s="16" t="s">
        <v>61</v>
      </c>
      <c r="V1" s="16" t="s">
        <v>45</v>
      </c>
      <c r="W1" s="7" t="s">
        <v>23</v>
      </c>
      <c r="X1" s="21" t="s">
        <v>46</v>
      </c>
      <c r="Y1" s="21" t="s">
        <v>47</v>
      </c>
      <c r="Z1" s="21" t="s">
        <v>62</v>
      </c>
      <c r="AA1" s="21" t="s">
        <v>48</v>
      </c>
      <c r="AB1" s="7" t="s">
        <v>23</v>
      </c>
      <c r="AC1" s="11" t="s">
        <v>49</v>
      </c>
      <c r="AD1" s="11" t="s">
        <v>50</v>
      </c>
      <c r="AE1" s="11" t="s">
        <v>51</v>
      </c>
      <c r="AF1" s="7" t="s">
        <v>23</v>
      </c>
      <c r="AG1" s="32" t="s">
        <v>52</v>
      </c>
      <c r="AH1" s="32" t="s">
        <v>53</v>
      </c>
      <c r="AI1" s="32" t="s">
        <v>54</v>
      </c>
      <c r="AJ1" s="94" t="s">
        <v>23</v>
      </c>
    </row>
    <row r="2" spans="1:36" ht="18.5" x14ac:dyDescent="0.65">
      <c r="A2" s="3" t="s">
        <v>18</v>
      </c>
      <c r="B2" s="48">
        <v>1367271</v>
      </c>
      <c r="C2" s="68">
        <f t="shared" ref="C2:C10" si="0">SUM(D2:E2)</f>
        <v>59261</v>
      </c>
      <c r="D2" s="53">
        <v>39919</v>
      </c>
      <c r="E2" s="53">
        <v>19342</v>
      </c>
      <c r="F2" s="73">
        <f t="shared" ref="F2:F10" si="1">SUM(G2:H2)</f>
        <v>10292</v>
      </c>
      <c r="G2" s="17">
        <v>1771</v>
      </c>
      <c r="H2" s="17">
        <v>8521</v>
      </c>
      <c r="I2" s="60">
        <f t="shared" ref="I2:I10" si="2">SUM(J2:K2)</f>
        <v>30164</v>
      </c>
      <c r="J2" s="48">
        <v>14557</v>
      </c>
      <c r="K2" s="48">
        <v>15607</v>
      </c>
      <c r="L2" s="27">
        <v>13998</v>
      </c>
      <c r="M2" s="27">
        <v>1609</v>
      </c>
      <c r="N2" s="13">
        <v>10634</v>
      </c>
      <c r="O2" s="13">
        <v>3316</v>
      </c>
      <c r="P2" s="13">
        <v>48</v>
      </c>
      <c r="Q2" s="13">
        <v>1609</v>
      </c>
      <c r="R2" s="88">
        <f>SUM(N2:Q2)</f>
        <v>15607</v>
      </c>
      <c r="S2" s="17">
        <v>14710</v>
      </c>
      <c r="T2" s="17">
        <v>897</v>
      </c>
      <c r="U2" s="17">
        <v>0</v>
      </c>
      <c r="V2" s="17">
        <v>0</v>
      </c>
      <c r="W2" s="88">
        <f>SUM(S2:V2)</f>
        <v>15607</v>
      </c>
      <c r="X2" s="22">
        <v>14683</v>
      </c>
      <c r="Y2" s="23">
        <v>924</v>
      </c>
      <c r="Z2" s="23">
        <v>0</v>
      </c>
      <c r="AA2" s="23">
        <v>0</v>
      </c>
      <c r="AB2" s="88">
        <f>SUM(X2:AA2)</f>
        <v>15607</v>
      </c>
      <c r="AC2" s="27">
        <v>396</v>
      </c>
      <c r="AD2" s="27">
        <v>15211</v>
      </c>
      <c r="AE2" s="28">
        <v>0</v>
      </c>
      <c r="AF2" s="87">
        <f>SUM(AC2:AE2)</f>
        <v>15607</v>
      </c>
      <c r="AG2" s="33">
        <v>13988</v>
      </c>
      <c r="AH2" s="34">
        <v>1541</v>
      </c>
      <c r="AI2" s="33">
        <v>78</v>
      </c>
      <c r="AJ2" s="95">
        <f>SUM(AG2:AI2)</f>
        <v>15607</v>
      </c>
    </row>
    <row r="3" spans="1:36" ht="18.5" x14ac:dyDescent="0.65">
      <c r="A3" s="3" t="s">
        <v>6</v>
      </c>
      <c r="B3" s="48">
        <v>791457</v>
      </c>
      <c r="C3" s="68">
        <f t="shared" si="0"/>
        <v>26231</v>
      </c>
      <c r="D3" s="53">
        <v>24143</v>
      </c>
      <c r="E3" s="53">
        <v>2088</v>
      </c>
      <c r="F3" s="73">
        <f t="shared" si="1"/>
        <v>30719</v>
      </c>
      <c r="G3" s="17">
        <v>15455</v>
      </c>
      <c r="H3" s="17">
        <v>15264</v>
      </c>
      <c r="I3" s="60">
        <f t="shared" si="2"/>
        <v>19985</v>
      </c>
      <c r="J3" s="65">
        <v>8937</v>
      </c>
      <c r="K3" s="65">
        <v>11048</v>
      </c>
      <c r="L3" s="28">
        <v>10379</v>
      </c>
      <c r="M3" s="28">
        <v>669</v>
      </c>
      <c r="N3" s="14">
        <v>6683</v>
      </c>
      <c r="O3" s="14">
        <v>3579</v>
      </c>
      <c r="P3" s="14">
        <v>117</v>
      </c>
      <c r="Q3" s="14">
        <v>669</v>
      </c>
      <c r="R3" s="87">
        <f>SUM(N3:Q3)</f>
        <v>11048</v>
      </c>
      <c r="S3" s="18">
        <v>10722</v>
      </c>
      <c r="T3" s="18">
        <v>326</v>
      </c>
      <c r="U3" s="18">
        <v>0</v>
      </c>
      <c r="V3" s="18">
        <v>0</v>
      </c>
      <c r="W3" s="88">
        <f>SUM(S3:V3)</f>
        <v>11048</v>
      </c>
      <c r="X3" s="22">
        <v>10720</v>
      </c>
      <c r="Y3" s="22">
        <v>328</v>
      </c>
      <c r="Z3" s="22">
        <v>0</v>
      </c>
      <c r="AA3" s="22">
        <v>0</v>
      </c>
      <c r="AB3" s="87">
        <f>SUM(X3:AA3)</f>
        <v>11048</v>
      </c>
      <c r="AC3" s="28">
        <v>8951</v>
      </c>
      <c r="AD3" s="28">
        <v>2097</v>
      </c>
      <c r="AE3" s="28">
        <v>0</v>
      </c>
      <c r="AF3" s="87">
        <f>SUM(AC3:AE3)</f>
        <v>11048</v>
      </c>
      <c r="AG3" s="33">
        <v>9900</v>
      </c>
      <c r="AH3" s="33">
        <v>981</v>
      </c>
      <c r="AI3" s="33">
        <v>167</v>
      </c>
      <c r="AJ3" s="95">
        <f>SUM(AG3:AI3)</f>
        <v>11048</v>
      </c>
    </row>
    <row r="4" spans="1:36" ht="34" x14ac:dyDescent="0.35">
      <c r="A4" s="4" t="s">
        <v>9</v>
      </c>
      <c r="B4" s="48">
        <v>26156</v>
      </c>
      <c r="C4" s="68">
        <f t="shared" si="0"/>
        <v>1740</v>
      </c>
      <c r="D4" s="53">
        <v>589</v>
      </c>
      <c r="E4" s="53">
        <v>1151</v>
      </c>
      <c r="F4" s="73">
        <f t="shared" si="1"/>
        <v>2471</v>
      </c>
      <c r="G4" s="17">
        <v>162</v>
      </c>
      <c r="H4" s="17">
        <v>2309</v>
      </c>
      <c r="I4" s="60">
        <f t="shared" si="2"/>
        <v>1284</v>
      </c>
      <c r="J4" s="48">
        <v>849</v>
      </c>
      <c r="K4" s="48">
        <v>435</v>
      </c>
      <c r="L4" s="27">
        <v>372</v>
      </c>
      <c r="M4" s="27">
        <v>63</v>
      </c>
      <c r="N4" s="13">
        <v>285</v>
      </c>
      <c r="O4" s="13">
        <v>79</v>
      </c>
      <c r="P4" s="13">
        <v>8</v>
      </c>
      <c r="Q4" s="13">
        <v>63</v>
      </c>
      <c r="R4" s="88">
        <f>SUM(N4:Q4)</f>
        <v>435</v>
      </c>
      <c r="S4" s="17">
        <v>397</v>
      </c>
      <c r="T4" s="17">
        <v>38</v>
      </c>
      <c r="U4" s="17">
        <v>0</v>
      </c>
      <c r="V4" s="17">
        <v>0</v>
      </c>
      <c r="W4" s="88">
        <f t="shared" ref="W4:W10" si="3">SUM(S4:V4)</f>
        <v>435</v>
      </c>
      <c r="X4" s="23">
        <v>395</v>
      </c>
      <c r="Y4" s="23">
        <v>40</v>
      </c>
      <c r="Z4" s="23">
        <v>0</v>
      </c>
      <c r="AA4" s="23">
        <v>0</v>
      </c>
      <c r="AB4" s="88">
        <f t="shared" ref="AB4:AB10" si="4">SUM(X4:AA4)</f>
        <v>435</v>
      </c>
      <c r="AC4" s="27">
        <v>346</v>
      </c>
      <c r="AD4" s="27">
        <v>89</v>
      </c>
      <c r="AE4" s="27">
        <v>0</v>
      </c>
      <c r="AF4" s="88">
        <f t="shared" ref="AF4:AF10" si="5">SUM(AC4:AE4)</f>
        <v>435</v>
      </c>
      <c r="AG4" s="35">
        <v>192</v>
      </c>
      <c r="AH4" s="35">
        <v>208</v>
      </c>
      <c r="AI4" s="35">
        <v>35</v>
      </c>
      <c r="AJ4" s="101">
        <f t="shared" ref="AJ4:AJ10" si="6">SUM(AG4:AI4)</f>
        <v>435</v>
      </c>
    </row>
    <row r="5" spans="1:36" ht="18.5" x14ac:dyDescent="0.35">
      <c r="A5" s="3" t="s">
        <v>11</v>
      </c>
      <c r="B5" s="48">
        <v>52019</v>
      </c>
      <c r="C5" s="68">
        <f t="shared" si="0"/>
        <v>1955</v>
      </c>
      <c r="D5" s="53">
        <v>1600</v>
      </c>
      <c r="E5" s="53">
        <v>355</v>
      </c>
      <c r="F5" s="73">
        <f t="shared" si="1"/>
        <v>3015</v>
      </c>
      <c r="G5" s="17">
        <v>366</v>
      </c>
      <c r="H5" s="17">
        <v>2649</v>
      </c>
      <c r="I5" s="60">
        <f t="shared" si="2"/>
        <v>726</v>
      </c>
      <c r="J5" s="48">
        <v>290</v>
      </c>
      <c r="K5" s="48">
        <v>436</v>
      </c>
      <c r="L5" s="27">
        <v>380</v>
      </c>
      <c r="M5" s="27">
        <v>56</v>
      </c>
      <c r="N5" s="13">
        <v>317</v>
      </c>
      <c r="O5" s="13">
        <v>60</v>
      </c>
      <c r="P5" s="13">
        <v>3</v>
      </c>
      <c r="Q5" s="13">
        <v>56</v>
      </c>
      <c r="R5" s="88">
        <f>SUM(N5:Q5)</f>
        <v>436</v>
      </c>
      <c r="S5" s="17">
        <v>398</v>
      </c>
      <c r="T5" s="17">
        <v>38</v>
      </c>
      <c r="U5" s="17">
        <v>0</v>
      </c>
      <c r="V5" s="17">
        <v>0</v>
      </c>
      <c r="W5" s="88">
        <f t="shared" si="3"/>
        <v>436</v>
      </c>
      <c r="X5" s="23">
        <v>399</v>
      </c>
      <c r="Y5" s="23">
        <v>37</v>
      </c>
      <c r="Z5" s="23">
        <v>0</v>
      </c>
      <c r="AA5" s="23">
        <v>0</v>
      </c>
      <c r="AB5" s="87">
        <f t="shared" si="4"/>
        <v>436</v>
      </c>
      <c r="AC5" s="27">
        <v>92</v>
      </c>
      <c r="AD5" s="27">
        <v>344</v>
      </c>
      <c r="AE5" s="27">
        <v>0</v>
      </c>
      <c r="AF5" s="87">
        <f t="shared" si="5"/>
        <v>436</v>
      </c>
      <c r="AG5" s="35">
        <v>377</v>
      </c>
      <c r="AH5" s="34">
        <v>52</v>
      </c>
      <c r="AI5" s="35">
        <v>7</v>
      </c>
      <c r="AJ5" s="95">
        <f t="shared" si="6"/>
        <v>436</v>
      </c>
    </row>
    <row r="6" spans="1:36" ht="18.5" x14ac:dyDescent="0.35">
      <c r="A6" s="3" t="s">
        <v>21</v>
      </c>
      <c r="B6" s="48">
        <v>7351</v>
      </c>
      <c r="C6" s="68">
        <f t="shared" si="0"/>
        <v>296</v>
      </c>
      <c r="D6" s="53">
        <v>110</v>
      </c>
      <c r="E6" s="53">
        <v>186</v>
      </c>
      <c r="F6" s="73">
        <f t="shared" si="1"/>
        <v>166</v>
      </c>
      <c r="G6" s="17">
        <v>37</v>
      </c>
      <c r="H6" s="17">
        <v>129</v>
      </c>
      <c r="I6" s="60">
        <f t="shared" si="2"/>
        <v>228</v>
      </c>
      <c r="J6" s="48">
        <v>164</v>
      </c>
      <c r="K6" s="48">
        <v>64</v>
      </c>
      <c r="L6" s="27">
        <v>51</v>
      </c>
      <c r="M6" s="27">
        <v>13</v>
      </c>
      <c r="N6" s="13">
        <v>32</v>
      </c>
      <c r="O6" s="13">
        <v>18</v>
      </c>
      <c r="P6" s="13">
        <v>1</v>
      </c>
      <c r="Q6" s="13">
        <v>13</v>
      </c>
      <c r="R6" s="88">
        <f>SUM(N6:Q6)</f>
        <v>64</v>
      </c>
      <c r="S6" s="17">
        <v>57</v>
      </c>
      <c r="T6" s="17">
        <v>7</v>
      </c>
      <c r="U6" s="17">
        <v>0</v>
      </c>
      <c r="V6" s="17">
        <v>0</v>
      </c>
      <c r="W6" s="88">
        <f t="shared" si="3"/>
        <v>64</v>
      </c>
      <c r="X6" s="23">
        <v>56</v>
      </c>
      <c r="Y6" s="23">
        <v>8</v>
      </c>
      <c r="Z6" s="23">
        <v>0</v>
      </c>
      <c r="AA6" s="23">
        <v>0</v>
      </c>
      <c r="AB6" s="87">
        <f t="shared" si="4"/>
        <v>64</v>
      </c>
      <c r="AC6" s="27">
        <v>1</v>
      </c>
      <c r="AD6" s="27">
        <v>63</v>
      </c>
      <c r="AE6" s="27">
        <v>0</v>
      </c>
      <c r="AF6" s="87">
        <f t="shared" si="5"/>
        <v>64</v>
      </c>
      <c r="AG6" s="35">
        <v>51</v>
      </c>
      <c r="AH6" s="34">
        <v>13</v>
      </c>
      <c r="AI6" s="35">
        <v>0</v>
      </c>
      <c r="AJ6" s="95">
        <f t="shared" si="6"/>
        <v>64</v>
      </c>
    </row>
    <row r="7" spans="1:36" ht="18.5" x14ac:dyDescent="0.35">
      <c r="A7" s="3" t="s">
        <v>15</v>
      </c>
      <c r="B7" s="48">
        <v>1082</v>
      </c>
      <c r="C7" s="68">
        <f t="shared" si="0"/>
        <v>49</v>
      </c>
      <c r="D7" s="53">
        <v>37</v>
      </c>
      <c r="E7" s="53">
        <v>12</v>
      </c>
      <c r="F7" s="73">
        <f t="shared" si="1"/>
        <v>169</v>
      </c>
      <c r="G7" s="17">
        <v>13</v>
      </c>
      <c r="H7" s="17">
        <v>156</v>
      </c>
      <c r="I7" s="60">
        <f t="shared" si="2"/>
        <v>49</v>
      </c>
      <c r="J7" s="48">
        <v>31</v>
      </c>
      <c r="K7" s="48">
        <v>18</v>
      </c>
      <c r="L7" s="27">
        <v>17</v>
      </c>
      <c r="M7" s="27">
        <v>1</v>
      </c>
      <c r="N7" s="13">
        <v>9</v>
      </c>
      <c r="O7" s="13">
        <v>7</v>
      </c>
      <c r="P7" s="13">
        <v>1</v>
      </c>
      <c r="Q7" s="13">
        <v>1</v>
      </c>
      <c r="R7" s="88">
        <f>SUM(N7:Q7)</f>
        <v>18</v>
      </c>
      <c r="S7" s="17">
        <v>18</v>
      </c>
      <c r="T7" s="17">
        <v>0</v>
      </c>
      <c r="U7" s="17">
        <v>0</v>
      </c>
      <c r="V7" s="17">
        <v>0</v>
      </c>
      <c r="W7" s="88">
        <f t="shared" si="3"/>
        <v>18</v>
      </c>
      <c r="X7" s="23">
        <v>18</v>
      </c>
      <c r="Y7" s="23">
        <v>0</v>
      </c>
      <c r="Z7" s="23">
        <v>0</v>
      </c>
      <c r="AA7" s="23">
        <v>0</v>
      </c>
      <c r="AB7" s="87">
        <f t="shared" si="4"/>
        <v>18</v>
      </c>
      <c r="AC7" s="27">
        <v>17</v>
      </c>
      <c r="AD7" s="27">
        <v>1</v>
      </c>
      <c r="AE7" s="27">
        <v>0</v>
      </c>
      <c r="AF7" s="87">
        <f t="shared" si="5"/>
        <v>18</v>
      </c>
      <c r="AG7" s="35">
        <v>7</v>
      </c>
      <c r="AH7" s="34">
        <v>10</v>
      </c>
      <c r="AI7" s="35">
        <v>1</v>
      </c>
      <c r="AJ7" s="95">
        <f t="shared" si="6"/>
        <v>18</v>
      </c>
    </row>
    <row r="8" spans="1:36" ht="18.5" x14ac:dyDescent="0.35">
      <c r="A8" s="3" t="s">
        <v>24</v>
      </c>
      <c r="B8" s="48">
        <v>520</v>
      </c>
      <c r="C8" s="68">
        <f t="shared" si="0"/>
        <v>23</v>
      </c>
      <c r="D8" s="53">
        <v>12</v>
      </c>
      <c r="E8" s="53">
        <v>11</v>
      </c>
      <c r="F8" s="73">
        <f t="shared" si="1"/>
        <v>43</v>
      </c>
      <c r="G8" s="17">
        <v>5</v>
      </c>
      <c r="H8" s="17">
        <v>38</v>
      </c>
      <c r="I8" s="60">
        <f t="shared" si="2"/>
        <v>41</v>
      </c>
      <c r="J8" s="48">
        <v>34</v>
      </c>
      <c r="K8" s="48">
        <v>7</v>
      </c>
      <c r="L8" s="27">
        <v>6</v>
      </c>
      <c r="M8" s="27">
        <v>1</v>
      </c>
      <c r="N8" s="13">
        <v>4</v>
      </c>
      <c r="O8" s="13">
        <v>2</v>
      </c>
      <c r="P8" s="13">
        <v>0</v>
      </c>
      <c r="Q8" s="13">
        <v>1</v>
      </c>
      <c r="R8" s="88">
        <f t="shared" ref="R8:R10" si="7">SUM(N8:Q8)</f>
        <v>7</v>
      </c>
      <c r="S8" s="17">
        <v>7</v>
      </c>
      <c r="T8" s="17">
        <v>0</v>
      </c>
      <c r="U8" s="17">
        <v>0</v>
      </c>
      <c r="V8" s="17">
        <v>0</v>
      </c>
      <c r="W8" s="88">
        <f t="shared" si="3"/>
        <v>7</v>
      </c>
      <c r="X8" s="23">
        <v>7</v>
      </c>
      <c r="Y8" s="23">
        <v>0</v>
      </c>
      <c r="Z8" s="23">
        <v>0</v>
      </c>
      <c r="AA8" s="23">
        <v>0</v>
      </c>
      <c r="AB8" s="87">
        <f t="shared" si="4"/>
        <v>7</v>
      </c>
      <c r="AC8" s="27">
        <v>6</v>
      </c>
      <c r="AD8" s="27">
        <v>1</v>
      </c>
      <c r="AE8" s="27">
        <v>0</v>
      </c>
      <c r="AF8" s="87">
        <f t="shared" si="5"/>
        <v>7</v>
      </c>
      <c r="AG8" s="35">
        <v>2</v>
      </c>
      <c r="AH8" s="34">
        <v>5</v>
      </c>
      <c r="AI8" s="35">
        <v>0</v>
      </c>
      <c r="AJ8" s="95">
        <f t="shared" si="6"/>
        <v>7</v>
      </c>
    </row>
    <row r="9" spans="1:36" ht="18.5" x14ac:dyDescent="0.35">
      <c r="A9" s="3" t="s">
        <v>25</v>
      </c>
      <c r="B9" s="48">
        <v>11423</v>
      </c>
      <c r="C9" s="68">
        <f t="shared" si="0"/>
        <v>378</v>
      </c>
      <c r="D9" s="53">
        <v>309</v>
      </c>
      <c r="E9" s="53">
        <v>69</v>
      </c>
      <c r="F9" s="73">
        <f t="shared" si="1"/>
        <v>234</v>
      </c>
      <c r="G9" s="17">
        <v>30</v>
      </c>
      <c r="H9" s="17">
        <v>204</v>
      </c>
      <c r="I9" s="60">
        <f t="shared" si="2"/>
        <v>63</v>
      </c>
      <c r="J9" s="48">
        <v>43</v>
      </c>
      <c r="K9" s="48">
        <v>20</v>
      </c>
      <c r="L9" s="27">
        <v>18</v>
      </c>
      <c r="M9" s="27">
        <v>2</v>
      </c>
      <c r="N9" s="13">
        <v>12</v>
      </c>
      <c r="O9" s="13">
        <v>6</v>
      </c>
      <c r="P9" s="13">
        <v>0</v>
      </c>
      <c r="Q9" s="13">
        <v>2</v>
      </c>
      <c r="R9" s="88">
        <f t="shared" si="7"/>
        <v>20</v>
      </c>
      <c r="S9" s="17">
        <v>19</v>
      </c>
      <c r="T9" s="17">
        <v>1</v>
      </c>
      <c r="U9" s="17">
        <v>0</v>
      </c>
      <c r="V9" s="17">
        <v>0</v>
      </c>
      <c r="W9" s="88">
        <f t="shared" si="3"/>
        <v>20</v>
      </c>
      <c r="X9" s="23">
        <v>19</v>
      </c>
      <c r="Y9" s="23">
        <v>1</v>
      </c>
      <c r="Z9" s="23">
        <v>0</v>
      </c>
      <c r="AA9" s="23">
        <v>0</v>
      </c>
      <c r="AB9" s="87">
        <f t="shared" si="4"/>
        <v>20</v>
      </c>
      <c r="AC9" s="27">
        <v>7</v>
      </c>
      <c r="AD9" s="27">
        <v>13</v>
      </c>
      <c r="AE9" s="27">
        <v>0</v>
      </c>
      <c r="AF9" s="87">
        <f t="shared" si="5"/>
        <v>20</v>
      </c>
      <c r="AG9" s="35">
        <v>17</v>
      </c>
      <c r="AH9" s="34">
        <v>3</v>
      </c>
      <c r="AI9" s="35">
        <v>0</v>
      </c>
      <c r="AJ9" s="95">
        <f t="shared" si="6"/>
        <v>20</v>
      </c>
    </row>
    <row r="10" spans="1:36" ht="18.5" x14ac:dyDescent="0.35">
      <c r="A10" s="3" t="s">
        <v>26</v>
      </c>
      <c r="B10" s="48">
        <v>794</v>
      </c>
      <c r="C10" s="68">
        <f t="shared" si="0"/>
        <v>76</v>
      </c>
      <c r="D10" s="53">
        <v>16</v>
      </c>
      <c r="E10" s="53">
        <v>60</v>
      </c>
      <c r="F10" s="73">
        <f t="shared" si="1"/>
        <v>5</v>
      </c>
      <c r="G10" s="17">
        <v>3</v>
      </c>
      <c r="H10" s="17">
        <v>2</v>
      </c>
      <c r="I10" s="60">
        <f t="shared" si="2"/>
        <v>2</v>
      </c>
      <c r="J10" s="48">
        <v>1</v>
      </c>
      <c r="K10" s="48">
        <v>1</v>
      </c>
      <c r="L10" s="27">
        <v>1</v>
      </c>
      <c r="M10" s="27">
        <v>0</v>
      </c>
      <c r="N10" s="13">
        <v>1</v>
      </c>
      <c r="O10" s="13">
        <v>0</v>
      </c>
      <c r="P10" s="13">
        <v>0</v>
      </c>
      <c r="Q10" s="13">
        <v>0</v>
      </c>
      <c r="R10" s="88">
        <f t="shared" si="7"/>
        <v>1</v>
      </c>
      <c r="S10" s="17">
        <v>1</v>
      </c>
      <c r="T10" s="17">
        <v>0</v>
      </c>
      <c r="U10" s="17">
        <v>0</v>
      </c>
      <c r="V10" s="17">
        <v>0</v>
      </c>
      <c r="W10" s="88">
        <f t="shared" si="3"/>
        <v>1</v>
      </c>
      <c r="X10" s="23">
        <v>1</v>
      </c>
      <c r="Y10" s="23">
        <v>0</v>
      </c>
      <c r="Z10" s="23">
        <v>0</v>
      </c>
      <c r="AA10" s="23">
        <v>0</v>
      </c>
      <c r="AB10" s="87">
        <f t="shared" si="4"/>
        <v>1</v>
      </c>
      <c r="AC10" s="27">
        <v>1</v>
      </c>
      <c r="AD10" s="27">
        <v>0</v>
      </c>
      <c r="AE10" s="27">
        <v>0</v>
      </c>
      <c r="AF10" s="87">
        <f t="shared" si="5"/>
        <v>1</v>
      </c>
      <c r="AG10" s="35">
        <v>1</v>
      </c>
      <c r="AH10" s="34">
        <v>0</v>
      </c>
      <c r="AI10" s="35">
        <v>0</v>
      </c>
      <c r="AJ10" s="95">
        <f t="shared" si="6"/>
        <v>1</v>
      </c>
    </row>
    <row r="11" spans="1:36" s="45" customFormat="1" ht="18.5" x14ac:dyDescent="0.35">
      <c r="A11" s="41" t="s">
        <v>23</v>
      </c>
      <c r="B11" s="42">
        <f t="shared" ref="B11:AI11" si="8">SUM(B2:B10)</f>
        <v>2258073</v>
      </c>
      <c r="C11" s="42">
        <f t="shared" si="8"/>
        <v>90009</v>
      </c>
      <c r="D11" s="42">
        <f t="shared" si="8"/>
        <v>66735</v>
      </c>
      <c r="E11" s="42">
        <f t="shared" si="8"/>
        <v>23274</v>
      </c>
      <c r="F11" s="42">
        <f t="shared" si="8"/>
        <v>47114</v>
      </c>
      <c r="G11" s="42">
        <f t="shared" si="8"/>
        <v>17842</v>
      </c>
      <c r="H11" s="42">
        <f t="shared" si="8"/>
        <v>29272</v>
      </c>
      <c r="I11" s="42">
        <f t="shared" si="8"/>
        <v>52542</v>
      </c>
      <c r="J11" s="42">
        <f t="shared" si="8"/>
        <v>24906</v>
      </c>
      <c r="K11" s="42">
        <f t="shared" si="8"/>
        <v>27636</v>
      </c>
      <c r="L11" s="42">
        <f t="shared" si="8"/>
        <v>25222</v>
      </c>
      <c r="M11" s="42">
        <f t="shared" si="8"/>
        <v>2414</v>
      </c>
      <c r="N11" s="42">
        <f t="shared" si="8"/>
        <v>17977</v>
      </c>
      <c r="O11" s="42">
        <f t="shared" si="8"/>
        <v>7067</v>
      </c>
      <c r="P11" s="42">
        <f t="shared" si="8"/>
        <v>178</v>
      </c>
      <c r="Q11" s="42">
        <f t="shared" si="8"/>
        <v>2414</v>
      </c>
      <c r="R11" s="89">
        <f>SUM(R2:R10)</f>
        <v>27636</v>
      </c>
      <c r="S11" s="42">
        <f t="shared" si="8"/>
        <v>26329</v>
      </c>
      <c r="T11" s="42">
        <f t="shared" si="8"/>
        <v>1307</v>
      </c>
      <c r="U11" s="42">
        <f>SUM(U2:U10)</f>
        <v>0</v>
      </c>
      <c r="V11" s="42">
        <f t="shared" si="8"/>
        <v>0</v>
      </c>
      <c r="W11" s="89">
        <f>SUM(W2:W10)</f>
        <v>27636</v>
      </c>
      <c r="X11" s="42">
        <f t="shared" si="8"/>
        <v>26298</v>
      </c>
      <c r="Y11" s="42">
        <f t="shared" si="8"/>
        <v>1338</v>
      </c>
      <c r="Z11" s="42">
        <f>SUM(Z2:Z10)</f>
        <v>0</v>
      </c>
      <c r="AA11" s="42">
        <f t="shared" si="8"/>
        <v>0</v>
      </c>
      <c r="AB11" s="89">
        <f>SUM(AB2:AB10)</f>
        <v>27636</v>
      </c>
      <c r="AC11" s="42">
        <f t="shared" si="8"/>
        <v>9817</v>
      </c>
      <c r="AD11" s="42">
        <f t="shared" si="8"/>
        <v>17819</v>
      </c>
      <c r="AE11" s="42">
        <f t="shared" si="8"/>
        <v>0</v>
      </c>
      <c r="AF11" s="89">
        <f>SUM(AF2:AF10)</f>
        <v>27636</v>
      </c>
      <c r="AG11" s="43">
        <f t="shared" si="8"/>
        <v>24535</v>
      </c>
      <c r="AH11" s="44">
        <f t="shared" si="8"/>
        <v>2813</v>
      </c>
      <c r="AI11" s="43">
        <f t="shared" si="8"/>
        <v>288</v>
      </c>
      <c r="AJ11" s="96">
        <f>SUM(AJ2:AJ10)</f>
        <v>27636</v>
      </c>
    </row>
    <row r="12" spans="1:36" ht="18.5" x14ac:dyDescent="0.65">
      <c r="A12" s="3"/>
      <c r="B12" s="48"/>
      <c r="C12" s="68"/>
      <c r="D12" s="53"/>
      <c r="E12" s="53"/>
      <c r="F12" s="73"/>
      <c r="G12" s="17"/>
      <c r="H12" s="17"/>
      <c r="I12" s="60"/>
      <c r="J12" s="65"/>
      <c r="K12" s="65"/>
      <c r="L12" s="28"/>
      <c r="M12" s="28"/>
      <c r="N12" s="14"/>
      <c r="O12" s="14"/>
      <c r="P12" s="14"/>
      <c r="Q12" s="14"/>
      <c r="R12" s="81"/>
      <c r="S12" s="18"/>
      <c r="T12" s="18"/>
      <c r="U12" s="18"/>
      <c r="V12" s="18"/>
      <c r="W12" s="81"/>
      <c r="X12" s="22"/>
      <c r="Y12" s="22"/>
      <c r="Z12" s="22"/>
      <c r="AA12" s="23"/>
      <c r="AB12" s="80"/>
      <c r="AC12" s="27"/>
      <c r="AD12" s="27"/>
      <c r="AE12" s="27"/>
      <c r="AF12" s="80"/>
      <c r="AG12" s="35"/>
      <c r="AH12" s="34"/>
      <c r="AI12" s="35"/>
      <c r="AJ12" s="97"/>
    </row>
    <row r="13" spans="1:36" ht="85" x14ac:dyDescent="0.35">
      <c r="A13" s="6" t="s">
        <v>55</v>
      </c>
      <c r="B13" s="47" t="s">
        <v>32</v>
      </c>
      <c r="C13" s="67" t="s">
        <v>36</v>
      </c>
      <c r="D13" s="52" t="s">
        <v>31</v>
      </c>
      <c r="E13" s="52" t="s">
        <v>30</v>
      </c>
      <c r="F13" s="72" t="s">
        <v>35</v>
      </c>
      <c r="G13" s="16" t="s">
        <v>33</v>
      </c>
      <c r="H13" s="16" t="s">
        <v>34</v>
      </c>
      <c r="I13" s="59" t="s">
        <v>27</v>
      </c>
      <c r="J13" s="64" t="s">
        <v>29</v>
      </c>
      <c r="K13" s="64" t="s">
        <v>28</v>
      </c>
      <c r="L13" s="11" t="s">
        <v>37</v>
      </c>
      <c r="M13" s="11" t="s">
        <v>38</v>
      </c>
      <c r="N13" s="6" t="s">
        <v>39</v>
      </c>
      <c r="O13" s="6" t="s">
        <v>40</v>
      </c>
      <c r="P13" s="6" t="s">
        <v>41</v>
      </c>
      <c r="Q13" s="6" t="s">
        <v>42</v>
      </c>
      <c r="R13" s="6" t="s">
        <v>23</v>
      </c>
      <c r="S13" s="16" t="s">
        <v>43</v>
      </c>
      <c r="T13" s="16" t="s">
        <v>44</v>
      </c>
      <c r="U13" s="16" t="s">
        <v>61</v>
      </c>
      <c r="V13" s="16" t="s">
        <v>45</v>
      </c>
      <c r="W13" s="7" t="s">
        <v>23</v>
      </c>
      <c r="X13" s="21" t="s">
        <v>46</v>
      </c>
      <c r="Y13" s="21" t="s">
        <v>47</v>
      </c>
      <c r="Z13" s="21" t="s">
        <v>62</v>
      </c>
      <c r="AA13" s="21" t="s">
        <v>48</v>
      </c>
      <c r="AB13" s="7" t="s">
        <v>23</v>
      </c>
      <c r="AC13" s="11" t="s">
        <v>49</v>
      </c>
      <c r="AD13" s="11" t="s">
        <v>50</v>
      </c>
      <c r="AE13" s="11" t="s">
        <v>51</v>
      </c>
      <c r="AF13" s="7" t="s">
        <v>23</v>
      </c>
      <c r="AG13" s="32" t="s">
        <v>52</v>
      </c>
      <c r="AH13" s="32" t="s">
        <v>53</v>
      </c>
      <c r="AI13" s="32" t="s">
        <v>54</v>
      </c>
      <c r="AJ13" s="94" t="s">
        <v>23</v>
      </c>
    </row>
    <row r="14" spans="1:36" ht="18.5" x14ac:dyDescent="0.65">
      <c r="A14" s="4" t="s">
        <v>56</v>
      </c>
      <c r="B14" s="48">
        <v>711408</v>
      </c>
      <c r="C14" s="79">
        <f>SUM(D14:E14)</f>
        <v>26983</v>
      </c>
      <c r="D14" s="53">
        <v>19821</v>
      </c>
      <c r="E14" s="53">
        <v>7162</v>
      </c>
      <c r="F14" s="73">
        <f>SUM(G14:H14)</f>
        <v>14563</v>
      </c>
      <c r="G14" s="17">
        <v>3179</v>
      </c>
      <c r="H14" s="17">
        <v>11384</v>
      </c>
      <c r="I14" s="60">
        <f>SUM(J14:K14)</f>
        <v>12720</v>
      </c>
      <c r="J14" s="65">
        <v>6195</v>
      </c>
      <c r="K14" s="65">
        <v>6525</v>
      </c>
      <c r="L14" s="28">
        <v>5984</v>
      </c>
      <c r="M14" s="28">
        <v>541</v>
      </c>
      <c r="N14" s="14">
        <v>4291</v>
      </c>
      <c r="O14" s="14">
        <v>1653</v>
      </c>
      <c r="P14" s="14">
        <v>40</v>
      </c>
      <c r="Q14" s="14">
        <v>541</v>
      </c>
      <c r="R14" s="87">
        <f>SUM(N14:Q14)</f>
        <v>6525</v>
      </c>
      <c r="S14" s="18">
        <v>6242</v>
      </c>
      <c r="T14" s="18">
        <v>283</v>
      </c>
      <c r="U14" s="18">
        <v>0</v>
      </c>
      <c r="V14" s="18">
        <v>0</v>
      </c>
      <c r="W14" s="87">
        <f>SUM(S14:V14)</f>
        <v>6525</v>
      </c>
      <c r="X14" s="22">
        <v>6237</v>
      </c>
      <c r="Y14" s="22">
        <v>288</v>
      </c>
      <c r="Z14" s="22">
        <v>0</v>
      </c>
      <c r="AA14" s="23">
        <v>0</v>
      </c>
      <c r="AB14" s="88">
        <f>SUM(X14:AA14)</f>
        <v>6525</v>
      </c>
      <c r="AC14" s="27">
        <v>2253</v>
      </c>
      <c r="AD14" s="27">
        <v>4272</v>
      </c>
      <c r="AE14" s="27">
        <v>0</v>
      </c>
      <c r="AF14" s="88">
        <f>SUM(AC14:AE14)</f>
        <v>6525</v>
      </c>
      <c r="AG14" s="35">
        <v>5787</v>
      </c>
      <c r="AH14" s="34">
        <v>650</v>
      </c>
      <c r="AI14" s="35">
        <v>88</v>
      </c>
      <c r="AJ14" s="101">
        <f>SUM(AG14:AI14)</f>
        <v>6525</v>
      </c>
    </row>
    <row r="15" spans="1:36" ht="18.5" x14ac:dyDescent="0.65">
      <c r="A15" s="3" t="s">
        <v>57</v>
      </c>
      <c r="B15" s="48">
        <v>752081</v>
      </c>
      <c r="C15" s="68">
        <f>SUM(D15:E15)</f>
        <v>29643</v>
      </c>
      <c r="D15" s="53">
        <v>22077</v>
      </c>
      <c r="E15" s="53">
        <v>7566</v>
      </c>
      <c r="F15" s="73">
        <f>SUM(G15:H15)</f>
        <v>15781</v>
      </c>
      <c r="G15" s="17">
        <v>7666</v>
      </c>
      <c r="H15" s="17">
        <v>8115</v>
      </c>
      <c r="I15" s="60">
        <f>SUM(J15:K15)</f>
        <v>21745</v>
      </c>
      <c r="J15" s="65">
        <v>10855</v>
      </c>
      <c r="K15" s="65">
        <v>10890</v>
      </c>
      <c r="L15" s="28">
        <v>9776</v>
      </c>
      <c r="M15" s="28">
        <v>1114</v>
      </c>
      <c r="N15" s="14">
        <v>7204</v>
      </c>
      <c r="O15" s="14">
        <v>2507</v>
      </c>
      <c r="P15" s="14">
        <v>65</v>
      </c>
      <c r="Q15" s="14">
        <v>1114</v>
      </c>
      <c r="R15" s="87">
        <f t="shared" ref="R15:R18" si="9">SUM(N15:Q15)</f>
        <v>10890</v>
      </c>
      <c r="S15" s="18">
        <v>10290</v>
      </c>
      <c r="T15" s="18">
        <v>600</v>
      </c>
      <c r="U15" s="18">
        <v>0</v>
      </c>
      <c r="V15" s="18">
        <v>0</v>
      </c>
      <c r="W15" s="87">
        <f t="shared" ref="W15:W18" si="10">SUM(S15:V15)</f>
        <v>10890</v>
      </c>
      <c r="X15" s="22">
        <v>10273</v>
      </c>
      <c r="Y15" s="22">
        <v>617</v>
      </c>
      <c r="Z15" s="22">
        <v>0</v>
      </c>
      <c r="AA15" s="23">
        <v>0</v>
      </c>
      <c r="AB15" s="88">
        <f t="shared" ref="AB15:AB18" si="11">SUM(X15:AA15)</f>
        <v>10890</v>
      </c>
      <c r="AC15" s="27">
        <v>3762</v>
      </c>
      <c r="AD15" s="27">
        <v>7128</v>
      </c>
      <c r="AE15" s="27">
        <v>0</v>
      </c>
      <c r="AF15" s="88">
        <f t="shared" ref="AF15:AF18" si="12">SUM(AC15:AE15)</f>
        <v>10890</v>
      </c>
      <c r="AG15" s="35">
        <v>9635</v>
      </c>
      <c r="AH15" s="34">
        <v>1159</v>
      </c>
      <c r="AI15" s="35">
        <v>96</v>
      </c>
      <c r="AJ15" s="101">
        <f t="shared" ref="AJ15:AJ18" si="13">SUM(AG15:AI15)</f>
        <v>10890</v>
      </c>
    </row>
    <row r="16" spans="1:36" ht="18.5" x14ac:dyDescent="0.65">
      <c r="A16" s="3" t="s">
        <v>58</v>
      </c>
      <c r="B16" s="48">
        <v>404925</v>
      </c>
      <c r="C16" s="68">
        <f>SUM(D16:E16)</f>
        <v>15794</v>
      </c>
      <c r="D16" s="53">
        <v>11392</v>
      </c>
      <c r="E16" s="53">
        <v>4402</v>
      </c>
      <c r="F16" s="73">
        <f>SUM(G16:H16)</f>
        <v>7273</v>
      </c>
      <c r="G16" s="17">
        <v>3090</v>
      </c>
      <c r="H16" s="17">
        <v>4183</v>
      </c>
      <c r="I16" s="60">
        <f>SUM(J16:K16)</f>
        <v>7348</v>
      </c>
      <c r="J16" s="65">
        <v>3275</v>
      </c>
      <c r="K16" s="65">
        <v>4073</v>
      </c>
      <c r="L16" s="28">
        <v>3801</v>
      </c>
      <c r="M16" s="28">
        <v>272</v>
      </c>
      <c r="N16" s="14">
        <v>2554</v>
      </c>
      <c r="O16" s="14">
        <v>1217</v>
      </c>
      <c r="P16" s="14">
        <v>30</v>
      </c>
      <c r="Q16" s="14">
        <v>272</v>
      </c>
      <c r="R16" s="87">
        <f t="shared" si="9"/>
        <v>4073</v>
      </c>
      <c r="S16" s="18">
        <v>3922</v>
      </c>
      <c r="T16" s="18">
        <v>151</v>
      </c>
      <c r="U16" s="18">
        <v>0</v>
      </c>
      <c r="V16" s="18">
        <v>0</v>
      </c>
      <c r="W16" s="87">
        <f t="shared" si="10"/>
        <v>4073</v>
      </c>
      <c r="X16" s="22">
        <v>3917</v>
      </c>
      <c r="Y16" s="22">
        <v>156</v>
      </c>
      <c r="Z16" s="22">
        <v>0</v>
      </c>
      <c r="AA16" s="23">
        <v>0</v>
      </c>
      <c r="AB16" s="88">
        <f t="shared" si="11"/>
        <v>4073</v>
      </c>
      <c r="AC16" s="27">
        <v>1422</v>
      </c>
      <c r="AD16" s="27">
        <v>2651</v>
      </c>
      <c r="AE16" s="27">
        <v>0</v>
      </c>
      <c r="AF16" s="88">
        <f t="shared" si="12"/>
        <v>4073</v>
      </c>
      <c r="AG16" s="35">
        <v>3707</v>
      </c>
      <c r="AH16" s="34">
        <v>328</v>
      </c>
      <c r="AI16" s="35">
        <v>38</v>
      </c>
      <c r="AJ16" s="101">
        <f t="shared" si="13"/>
        <v>4073</v>
      </c>
    </row>
    <row r="17" spans="1:36" ht="18.5" x14ac:dyDescent="0.65">
      <c r="A17" s="3" t="s">
        <v>59</v>
      </c>
      <c r="B17" s="48">
        <v>389230</v>
      </c>
      <c r="C17" s="68">
        <f>SUM(D17:E17)</f>
        <v>17589</v>
      </c>
      <c r="D17" s="53">
        <v>13445</v>
      </c>
      <c r="E17" s="53">
        <v>4144</v>
      </c>
      <c r="F17" s="73">
        <f>SUM(G17:H17)</f>
        <v>9497</v>
      </c>
      <c r="G17" s="17">
        <v>3907</v>
      </c>
      <c r="H17" s="17">
        <v>5590</v>
      </c>
      <c r="I17" s="60">
        <f>SUM(J17:K17)</f>
        <v>10711</v>
      </c>
      <c r="J17" s="65">
        <v>4564</v>
      </c>
      <c r="K17" s="65">
        <v>6147</v>
      </c>
      <c r="L17" s="28">
        <v>5661</v>
      </c>
      <c r="M17" s="28">
        <v>486</v>
      </c>
      <c r="N17" s="14">
        <v>3928</v>
      </c>
      <c r="O17" s="14">
        <v>1690</v>
      </c>
      <c r="P17" s="14">
        <v>43</v>
      </c>
      <c r="Q17" s="14">
        <v>486</v>
      </c>
      <c r="R17" s="87">
        <f t="shared" si="9"/>
        <v>6147</v>
      </c>
      <c r="S17" s="18">
        <v>5875</v>
      </c>
      <c r="T17" s="18">
        <v>272</v>
      </c>
      <c r="U17" s="18">
        <v>0</v>
      </c>
      <c r="V17" s="18">
        <v>0</v>
      </c>
      <c r="W17" s="87">
        <f t="shared" si="10"/>
        <v>6147</v>
      </c>
      <c r="X17" s="22">
        <v>5871</v>
      </c>
      <c r="Y17" s="22">
        <v>276</v>
      </c>
      <c r="Z17" s="22">
        <v>0</v>
      </c>
      <c r="AA17" s="23">
        <v>0</v>
      </c>
      <c r="AB17" s="88">
        <f t="shared" si="11"/>
        <v>6147</v>
      </c>
      <c r="AC17" s="27">
        <v>2380</v>
      </c>
      <c r="AD17" s="27">
        <v>3767</v>
      </c>
      <c r="AE17" s="27">
        <v>0</v>
      </c>
      <c r="AF17" s="88">
        <f t="shared" si="12"/>
        <v>6147</v>
      </c>
      <c r="AG17" s="35">
        <v>5406</v>
      </c>
      <c r="AH17" s="34">
        <v>675</v>
      </c>
      <c r="AI17" s="35">
        <v>66</v>
      </c>
      <c r="AJ17" s="101">
        <f t="shared" si="13"/>
        <v>6147</v>
      </c>
    </row>
    <row r="18" spans="1:36" ht="24" x14ac:dyDescent="0.35">
      <c r="A18" s="77" t="s">
        <v>60</v>
      </c>
      <c r="B18" s="49">
        <v>429</v>
      </c>
      <c r="C18" s="69">
        <f>SUM(D18:E18)</f>
        <v>0</v>
      </c>
      <c r="D18" s="54">
        <v>0</v>
      </c>
      <c r="E18" s="54">
        <v>0</v>
      </c>
      <c r="F18" s="74">
        <f>SUM(G18:H18)</f>
        <v>0</v>
      </c>
      <c r="G18" s="57">
        <v>0</v>
      </c>
      <c r="H18" s="57">
        <v>0</v>
      </c>
      <c r="I18" s="61">
        <f>SUM(J18:K18)</f>
        <v>18</v>
      </c>
      <c r="J18" s="49">
        <v>17</v>
      </c>
      <c r="K18" s="49">
        <v>1</v>
      </c>
      <c r="L18" s="29">
        <v>0</v>
      </c>
      <c r="M18" s="29">
        <v>1</v>
      </c>
      <c r="N18" s="5">
        <v>0</v>
      </c>
      <c r="O18" s="5">
        <v>0</v>
      </c>
      <c r="P18" s="5">
        <v>0</v>
      </c>
      <c r="Q18" s="5">
        <v>1</v>
      </c>
      <c r="R18" s="87">
        <f t="shared" si="9"/>
        <v>1</v>
      </c>
      <c r="S18" s="57">
        <v>0</v>
      </c>
      <c r="T18" s="57">
        <v>1</v>
      </c>
      <c r="U18" s="57">
        <v>0</v>
      </c>
      <c r="V18" s="57">
        <v>0</v>
      </c>
      <c r="W18" s="87">
        <f t="shared" si="10"/>
        <v>1</v>
      </c>
      <c r="X18" s="25">
        <v>0</v>
      </c>
      <c r="Y18" s="25">
        <v>1</v>
      </c>
      <c r="Z18" s="25">
        <v>0</v>
      </c>
      <c r="AA18" s="25">
        <v>0</v>
      </c>
      <c r="AB18" s="88">
        <f t="shared" si="11"/>
        <v>1</v>
      </c>
      <c r="AC18" s="29">
        <v>0</v>
      </c>
      <c r="AD18" s="29">
        <v>1</v>
      </c>
      <c r="AE18" s="29">
        <v>0</v>
      </c>
      <c r="AF18" s="88">
        <f t="shared" si="12"/>
        <v>1</v>
      </c>
      <c r="AG18" s="36">
        <v>0</v>
      </c>
      <c r="AH18" s="37">
        <v>1</v>
      </c>
      <c r="AI18" s="36">
        <v>0</v>
      </c>
      <c r="AJ18" s="101">
        <f t="shared" si="13"/>
        <v>1</v>
      </c>
    </row>
    <row r="19" spans="1:36" s="78" customFormat="1" ht="18.5" x14ac:dyDescent="0.65">
      <c r="A19" s="41" t="s">
        <v>23</v>
      </c>
      <c r="B19" s="102">
        <f>SUM(B14:B18)</f>
        <v>2258073</v>
      </c>
      <c r="C19" s="102">
        <f>SUM(C14:C18)</f>
        <v>90009</v>
      </c>
      <c r="D19" s="102">
        <f>SUM(D14:D18)</f>
        <v>66735</v>
      </c>
      <c r="E19" s="102">
        <f>SUM(E14:E18)</f>
        <v>23274</v>
      </c>
      <c r="F19" s="102">
        <f>SUM(F14:F18)</f>
        <v>47114</v>
      </c>
      <c r="G19" s="102">
        <f>SUM(G14:G18)</f>
        <v>17842</v>
      </c>
      <c r="H19" s="102">
        <f>SUM(H14:H18)</f>
        <v>29272</v>
      </c>
      <c r="I19" s="102">
        <f>SUM(I14:I18)</f>
        <v>52542</v>
      </c>
      <c r="J19" s="103">
        <f>SUM(J14:J18)</f>
        <v>24906</v>
      </c>
      <c r="K19" s="103">
        <f>SUM(K14:K18)</f>
        <v>27636</v>
      </c>
      <c r="L19" s="103">
        <f>SUM(L14:L18)</f>
        <v>25222</v>
      </c>
      <c r="M19" s="103">
        <f>SUM(M14:M18)</f>
        <v>2414</v>
      </c>
      <c r="N19" s="103">
        <f>SUM(N14:N18)</f>
        <v>17977</v>
      </c>
      <c r="O19" s="103">
        <f>SUM(O14:O18)</f>
        <v>7067</v>
      </c>
      <c r="P19" s="103">
        <f>SUM(P14:P18)</f>
        <v>178</v>
      </c>
      <c r="Q19" s="103">
        <f>SUM(Q14:Q18)</f>
        <v>2414</v>
      </c>
      <c r="R19" s="92">
        <f>SUM(R14:R18)</f>
        <v>27636</v>
      </c>
      <c r="S19" s="103">
        <f>SUM(S14:S18)</f>
        <v>26329</v>
      </c>
      <c r="T19" s="103">
        <f>SUM(T14:T18)</f>
        <v>1307</v>
      </c>
      <c r="U19" s="103">
        <f>SUM(U14:U18)</f>
        <v>0</v>
      </c>
      <c r="V19" s="103">
        <f>SUM(V14:V18)</f>
        <v>0</v>
      </c>
      <c r="W19" s="92">
        <f>SUM(W14:W18)</f>
        <v>27636</v>
      </c>
      <c r="X19" s="103">
        <f>SUM(X14:X18)</f>
        <v>26298</v>
      </c>
      <c r="Y19" s="103">
        <f>SUM(Y14:Y18)</f>
        <v>1338</v>
      </c>
      <c r="Z19" s="103">
        <f>SUM(Z14:Z18)</f>
        <v>0</v>
      </c>
      <c r="AA19" s="102">
        <f>SUM(AA14:AA18)</f>
        <v>0</v>
      </c>
      <c r="AB19" s="93">
        <f>SUM(AB14:AB18)</f>
        <v>27636</v>
      </c>
      <c r="AC19" s="102">
        <f>SUM(AC14:AC18)</f>
        <v>9817</v>
      </c>
      <c r="AD19" s="102">
        <f>SUM(AD14:AD18)</f>
        <v>17819</v>
      </c>
      <c r="AE19" s="102">
        <f>SUM(AE14:AE18)</f>
        <v>0</v>
      </c>
      <c r="AF19" s="93">
        <f>SUM(AF14:AF18)</f>
        <v>27636</v>
      </c>
      <c r="AG19" s="104">
        <f>SUM(AG14:AG18)</f>
        <v>24535</v>
      </c>
      <c r="AH19" s="105">
        <f>SUM(AH14:AH18)</f>
        <v>2813</v>
      </c>
      <c r="AI19" s="104">
        <f>SUM(AI14:AI18)</f>
        <v>288</v>
      </c>
      <c r="AJ19" s="106">
        <f>SUM(AJ14:AJ18)</f>
        <v>27636</v>
      </c>
    </row>
    <row r="20" spans="1:36" ht="18.5" x14ac:dyDescent="0.65">
      <c r="A20" s="3"/>
      <c r="B20" s="49"/>
      <c r="C20" s="69"/>
      <c r="D20" s="54"/>
      <c r="E20" s="54"/>
      <c r="F20" s="74"/>
      <c r="G20" s="57"/>
      <c r="H20" s="57"/>
      <c r="I20" s="61"/>
      <c r="J20" s="66"/>
      <c r="K20" s="66"/>
      <c r="L20" s="30"/>
      <c r="M20" s="30"/>
      <c r="N20" s="12"/>
      <c r="O20" s="12"/>
      <c r="P20" s="12"/>
      <c r="Q20" s="12"/>
      <c r="R20" s="83"/>
      <c r="S20" s="19"/>
      <c r="T20" s="19"/>
      <c r="U20" s="19"/>
      <c r="V20" s="19"/>
      <c r="W20" s="83"/>
      <c r="X20" s="24"/>
      <c r="Y20" s="24"/>
      <c r="Z20" s="24"/>
      <c r="AA20" s="25"/>
      <c r="AB20" s="82"/>
      <c r="AC20" s="29"/>
      <c r="AD20" s="29"/>
      <c r="AE20" s="29"/>
      <c r="AF20" s="82"/>
      <c r="AG20" s="36"/>
      <c r="AH20" s="37"/>
      <c r="AI20" s="36"/>
      <c r="AJ20" s="98"/>
    </row>
    <row r="21" spans="1:36" ht="18.5" x14ac:dyDescent="0.65">
      <c r="A21" s="3"/>
      <c r="B21" s="49"/>
      <c r="C21" s="69"/>
      <c r="D21" s="54"/>
      <c r="E21" s="54"/>
      <c r="F21" s="74"/>
      <c r="G21" s="57"/>
      <c r="H21" s="57"/>
      <c r="I21" s="61"/>
      <c r="J21" s="66"/>
      <c r="K21" s="66"/>
      <c r="L21" s="30"/>
      <c r="M21" s="30"/>
      <c r="N21" s="12"/>
      <c r="O21" s="12"/>
      <c r="P21" s="12"/>
      <c r="Q21" s="12"/>
      <c r="R21" s="83"/>
      <c r="S21" s="19"/>
      <c r="T21" s="19"/>
      <c r="U21" s="19"/>
      <c r="V21" s="19"/>
      <c r="W21" s="83"/>
      <c r="X21" s="24"/>
      <c r="Y21" s="24"/>
      <c r="Z21" s="24"/>
      <c r="AA21" s="24"/>
      <c r="AB21" s="83"/>
      <c r="AC21" s="30"/>
      <c r="AD21" s="30"/>
      <c r="AE21" s="30"/>
      <c r="AF21" s="83"/>
      <c r="AG21" s="38"/>
      <c r="AH21" s="39"/>
      <c r="AI21" s="38"/>
      <c r="AJ21" s="99"/>
    </row>
    <row r="22" spans="1:36" ht="18.5" x14ac:dyDescent="0.65">
      <c r="A22" s="2"/>
      <c r="B22" s="49"/>
      <c r="C22" s="69"/>
      <c r="D22" s="54"/>
      <c r="E22" s="54"/>
      <c r="F22" s="74"/>
      <c r="G22" s="57"/>
      <c r="H22" s="57"/>
      <c r="I22" s="61"/>
      <c r="J22" s="66"/>
      <c r="K22" s="66"/>
      <c r="L22" s="30"/>
      <c r="M22" s="30"/>
      <c r="N22" s="12"/>
      <c r="O22" s="12"/>
      <c r="P22" s="12"/>
      <c r="Q22" s="12"/>
      <c r="R22" s="83"/>
      <c r="S22" s="19"/>
      <c r="T22" s="19"/>
      <c r="U22" s="19"/>
      <c r="V22" s="19"/>
      <c r="W22" s="83"/>
      <c r="X22" s="24"/>
      <c r="Y22" s="24"/>
      <c r="Z22" s="24"/>
      <c r="AA22" s="24"/>
      <c r="AB22" s="83"/>
      <c r="AC22" s="30"/>
      <c r="AD22" s="30"/>
      <c r="AE22" s="30"/>
      <c r="AF22" s="83"/>
      <c r="AG22" s="38"/>
      <c r="AH22" s="39"/>
      <c r="AI22" s="38"/>
      <c r="AJ22" s="99"/>
    </row>
    <row r="23" spans="1:36" ht="18.5" x14ac:dyDescent="0.65">
      <c r="A23" s="2"/>
      <c r="B23" s="49"/>
      <c r="C23" s="69"/>
      <c r="D23" s="54"/>
      <c r="E23" s="54"/>
      <c r="F23" s="74"/>
      <c r="G23" s="57"/>
      <c r="H23" s="57"/>
      <c r="I23" s="61"/>
      <c r="J23" s="66"/>
      <c r="K23" s="66"/>
      <c r="L23" s="30"/>
      <c r="M23" s="30"/>
      <c r="N23" s="12"/>
      <c r="O23" s="12"/>
      <c r="P23" s="12"/>
      <c r="Q23" s="12"/>
      <c r="R23" s="83"/>
      <c r="S23" s="19"/>
      <c r="T23" s="19"/>
      <c r="U23" s="19"/>
      <c r="V23" s="19"/>
      <c r="W23" s="83"/>
      <c r="X23" s="24"/>
      <c r="Y23" s="24"/>
      <c r="Z23" s="24"/>
      <c r="AA23" s="24"/>
      <c r="AB23" s="83"/>
      <c r="AC23" s="30"/>
      <c r="AD23" s="30"/>
      <c r="AE23" s="30"/>
      <c r="AF23" s="83"/>
      <c r="AG23" s="38"/>
      <c r="AH23" s="39"/>
      <c r="AI23" s="38"/>
      <c r="AJ23" s="99"/>
    </row>
    <row r="24" spans="1:36" ht="18.5" x14ac:dyDescent="0.65">
      <c r="A24" s="2"/>
      <c r="B24" s="49"/>
      <c r="C24" s="69"/>
      <c r="D24" s="54"/>
      <c r="E24" s="54"/>
      <c r="F24" s="74"/>
      <c r="G24" s="57"/>
      <c r="H24" s="57"/>
      <c r="I24" s="61"/>
      <c r="J24" s="66"/>
      <c r="K24" s="66"/>
      <c r="L24" s="30"/>
      <c r="M24" s="30"/>
      <c r="N24" s="12"/>
      <c r="O24" s="12"/>
      <c r="P24" s="12"/>
      <c r="Q24" s="12"/>
      <c r="R24" s="83"/>
      <c r="S24" s="19"/>
      <c r="T24" s="19"/>
      <c r="U24" s="19"/>
      <c r="V24" s="19"/>
      <c r="W24" s="83"/>
      <c r="X24" s="24"/>
      <c r="Y24" s="24"/>
      <c r="Z24" s="24"/>
      <c r="AA24" s="24"/>
      <c r="AB24" s="83"/>
      <c r="AC24" s="30"/>
      <c r="AD24" s="30"/>
      <c r="AE24" s="30"/>
      <c r="AF24" s="83"/>
      <c r="AG24" s="38"/>
      <c r="AH24" s="39"/>
      <c r="AI24" s="38"/>
      <c r="AJ24" s="99"/>
    </row>
    <row r="25" spans="1:36" ht="18.5" x14ac:dyDescent="0.65">
      <c r="A25" s="2"/>
      <c r="B25" s="49"/>
      <c r="C25" s="69"/>
      <c r="D25" s="54"/>
      <c r="E25" s="54"/>
      <c r="F25" s="74"/>
      <c r="G25" s="57"/>
      <c r="H25" s="57"/>
      <c r="I25" s="61"/>
      <c r="J25" s="66"/>
      <c r="K25" s="66"/>
      <c r="L25" s="30"/>
      <c r="M25" s="30"/>
      <c r="N25" s="12"/>
      <c r="O25" s="12"/>
      <c r="P25" s="12"/>
      <c r="Q25" s="12"/>
      <c r="R25" s="83"/>
      <c r="S25" s="19"/>
      <c r="T25" s="19"/>
      <c r="U25" s="19"/>
      <c r="V25" s="19"/>
      <c r="W25" s="83"/>
      <c r="X25" s="24"/>
      <c r="Y25" s="24"/>
      <c r="Z25" s="24"/>
      <c r="AA25" s="24"/>
      <c r="AB25" s="83"/>
      <c r="AC25" s="30"/>
      <c r="AD25" s="30"/>
      <c r="AE25" s="30"/>
      <c r="AF25" s="83"/>
      <c r="AG25" s="38"/>
      <c r="AH25" s="39"/>
      <c r="AI25" s="38"/>
      <c r="AJ25" s="99"/>
    </row>
    <row r="26" spans="1:36" ht="18.5" x14ac:dyDescent="0.65">
      <c r="A26" s="2"/>
      <c r="B26" s="49"/>
      <c r="C26" s="69"/>
      <c r="D26" s="54"/>
      <c r="E26" s="54"/>
      <c r="F26" s="74"/>
      <c r="G26" s="57"/>
      <c r="H26" s="57"/>
      <c r="I26" s="61"/>
      <c r="J26" s="66"/>
      <c r="K26" s="66"/>
      <c r="L26" s="30"/>
      <c r="M26" s="30"/>
      <c r="N26" s="12"/>
      <c r="O26" s="12"/>
      <c r="P26" s="12"/>
      <c r="Q26" s="12"/>
      <c r="R26" s="83"/>
      <c r="S26" s="19"/>
      <c r="T26" s="19"/>
      <c r="U26" s="19"/>
      <c r="V26" s="19"/>
      <c r="W26" s="83"/>
      <c r="X26" s="24"/>
      <c r="Y26" s="24"/>
      <c r="Z26" s="24"/>
      <c r="AA26" s="24"/>
      <c r="AB26" s="83"/>
      <c r="AC26" s="30"/>
      <c r="AD26" s="30"/>
      <c r="AE26" s="30"/>
      <c r="AF26" s="83"/>
      <c r="AG26" s="38"/>
      <c r="AH26" s="39"/>
      <c r="AI26" s="38"/>
      <c r="AJ26" s="99"/>
    </row>
    <row r="27" spans="1:36" ht="18.5" x14ac:dyDescent="0.65">
      <c r="A27" s="2"/>
      <c r="B27" s="49"/>
      <c r="C27" s="69"/>
      <c r="D27" s="54"/>
      <c r="E27" s="54"/>
      <c r="F27" s="74"/>
      <c r="G27" s="57"/>
      <c r="H27" s="57"/>
      <c r="I27" s="61"/>
      <c r="J27" s="66"/>
      <c r="K27" s="66"/>
      <c r="L27" s="30"/>
      <c r="M27" s="30"/>
      <c r="N27" s="12"/>
      <c r="O27" s="12"/>
      <c r="P27" s="12"/>
      <c r="Q27" s="12"/>
      <c r="R27" s="83"/>
      <c r="S27" s="19"/>
      <c r="T27" s="19"/>
      <c r="U27" s="19"/>
      <c r="V27" s="19"/>
      <c r="W27" s="83"/>
      <c r="X27" s="24"/>
      <c r="Y27" s="24"/>
      <c r="Z27" s="24"/>
      <c r="AA27" s="24"/>
      <c r="AB27" s="83"/>
      <c r="AC27" s="30"/>
      <c r="AD27" s="30"/>
      <c r="AE27" s="30"/>
      <c r="AF27" s="83"/>
      <c r="AG27" s="38"/>
      <c r="AH27" s="39"/>
      <c r="AI27" s="38"/>
      <c r="AJ27" s="99"/>
    </row>
    <row r="28" spans="1:36" ht="18.5" x14ac:dyDescent="0.65">
      <c r="A28" s="2"/>
      <c r="B28" s="49"/>
      <c r="C28" s="69"/>
      <c r="D28" s="54"/>
      <c r="E28" s="54"/>
      <c r="F28" s="74"/>
      <c r="G28" s="57"/>
      <c r="H28" s="57"/>
      <c r="I28" s="61"/>
      <c r="J28" s="66"/>
      <c r="K28" s="66"/>
      <c r="L28" s="30"/>
      <c r="M28" s="30"/>
      <c r="N28" s="12"/>
      <c r="O28" s="12"/>
      <c r="P28" s="12"/>
      <c r="Q28" s="12"/>
      <c r="R28" s="83"/>
      <c r="S28" s="19"/>
      <c r="T28" s="19"/>
      <c r="U28" s="19"/>
      <c r="V28" s="19"/>
      <c r="W28" s="83"/>
      <c r="X28" s="24"/>
      <c r="Y28" s="24"/>
      <c r="Z28" s="24"/>
      <c r="AA28" s="24"/>
      <c r="AB28" s="83"/>
      <c r="AC28" s="30"/>
      <c r="AD28" s="30"/>
      <c r="AE28" s="30"/>
      <c r="AF28" s="83"/>
      <c r="AG28" s="38"/>
      <c r="AH28" s="39"/>
      <c r="AI28" s="38"/>
      <c r="AJ28" s="99"/>
    </row>
    <row r="29" spans="1:36" ht="18.5" x14ac:dyDescent="0.65">
      <c r="A29" s="2"/>
      <c r="B29" s="49"/>
      <c r="C29" s="69"/>
      <c r="D29" s="54"/>
      <c r="E29" s="54"/>
      <c r="F29" s="74"/>
      <c r="G29" s="57"/>
      <c r="H29" s="57"/>
      <c r="I29" s="61"/>
      <c r="J29" s="66"/>
      <c r="K29" s="66"/>
      <c r="L29" s="30"/>
      <c r="M29" s="30"/>
      <c r="N29" s="12"/>
      <c r="O29" s="12"/>
      <c r="P29" s="12"/>
      <c r="Q29" s="12"/>
      <c r="R29" s="83"/>
      <c r="S29" s="19"/>
      <c r="T29" s="19"/>
      <c r="U29" s="19"/>
      <c r="V29" s="19"/>
      <c r="W29" s="83"/>
      <c r="X29" s="24"/>
      <c r="Y29" s="24"/>
      <c r="Z29" s="24"/>
      <c r="AA29" s="24"/>
      <c r="AB29" s="83"/>
      <c r="AC29" s="30"/>
      <c r="AD29" s="30"/>
      <c r="AE29" s="30"/>
      <c r="AF29" s="83"/>
      <c r="AG29" s="38"/>
      <c r="AH29" s="39"/>
      <c r="AI29" s="38"/>
      <c r="AJ29" s="99"/>
    </row>
    <row r="30" spans="1:36" ht="18.5" x14ac:dyDescent="0.65">
      <c r="A30" s="2"/>
      <c r="B30" s="49"/>
      <c r="C30" s="69"/>
      <c r="D30" s="54"/>
      <c r="E30" s="54"/>
      <c r="F30" s="74"/>
      <c r="G30" s="57"/>
      <c r="H30" s="57"/>
      <c r="I30" s="61"/>
      <c r="J30" s="66"/>
      <c r="K30" s="66"/>
      <c r="L30" s="30"/>
      <c r="M30" s="30"/>
      <c r="N30" s="12"/>
      <c r="O30" s="12"/>
      <c r="P30" s="12"/>
      <c r="Q30" s="12"/>
      <c r="R30" s="83"/>
      <c r="S30" s="19"/>
      <c r="T30" s="19"/>
      <c r="U30" s="19"/>
      <c r="V30" s="19"/>
      <c r="W30" s="83"/>
      <c r="X30" s="24"/>
      <c r="Y30" s="24"/>
      <c r="Z30" s="24"/>
      <c r="AA30" s="24"/>
      <c r="AB30" s="83"/>
      <c r="AC30" s="30"/>
      <c r="AD30" s="30"/>
      <c r="AE30" s="30"/>
      <c r="AF30" s="83"/>
      <c r="AG30" s="38"/>
      <c r="AH30" s="39"/>
      <c r="AI30" s="38"/>
      <c r="AJ30" s="99"/>
    </row>
    <row r="31" spans="1:36" ht="18.5" x14ac:dyDescent="0.65">
      <c r="A31" s="2"/>
      <c r="B31" s="49"/>
      <c r="C31" s="69"/>
      <c r="D31" s="54"/>
      <c r="E31" s="54"/>
      <c r="F31" s="74"/>
      <c r="G31" s="57"/>
      <c r="H31" s="57"/>
      <c r="I31" s="61"/>
      <c r="J31" s="66"/>
      <c r="K31" s="66"/>
      <c r="L31" s="30"/>
      <c r="M31" s="30"/>
      <c r="N31" s="12"/>
      <c r="O31" s="12"/>
      <c r="P31" s="12"/>
      <c r="Q31" s="12"/>
      <c r="R31" s="83"/>
      <c r="S31" s="19"/>
      <c r="T31" s="19"/>
      <c r="U31" s="19"/>
      <c r="V31" s="19"/>
      <c r="W31" s="83"/>
      <c r="X31" s="24"/>
      <c r="Y31" s="24"/>
      <c r="Z31" s="24"/>
      <c r="AA31" s="24"/>
      <c r="AB31" s="83"/>
      <c r="AC31" s="30"/>
      <c r="AD31" s="30"/>
      <c r="AE31" s="30"/>
      <c r="AF31" s="83"/>
      <c r="AG31" s="38"/>
      <c r="AH31" s="39"/>
      <c r="AI31" s="38"/>
      <c r="AJ31" s="99"/>
    </row>
    <row r="32" spans="1:36" ht="18.5" x14ac:dyDescent="0.65">
      <c r="A32" s="2"/>
      <c r="B32" s="49"/>
      <c r="C32" s="69"/>
      <c r="D32" s="54"/>
      <c r="E32" s="54"/>
      <c r="F32" s="74"/>
      <c r="G32" s="57"/>
      <c r="H32" s="57"/>
      <c r="I32" s="61"/>
      <c r="J32" s="66"/>
      <c r="K32" s="66"/>
      <c r="L32" s="30"/>
      <c r="M32" s="30"/>
      <c r="N32" s="12"/>
      <c r="O32" s="12"/>
      <c r="P32" s="12"/>
      <c r="Q32" s="12"/>
      <c r="R32" s="83"/>
      <c r="S32" s="19"/>
      <c r="T32" s="19"/>
      <c r="U32" s="19"/>
      <c r="V32" s="19"/>
      <c r="W32" s="83"/>
      <c r="X32" s="24"/>
      <c r="Y32" s="24"/>
      <c r="Z32" s="24"/>
      <c r="AA32" s="24"/>
      <c r="AB32" s="83"/>
      <c r="AC32" s="30"/>
      <c r="AD32" s="30"/>
      <c r="AE32" s="30"/>
      <c r="AF32" s="83"/>
      <c r="AG32" s="38"/>
      <c r="AH32" s="39"/>
      <c r="AI32" s="38"/>
      <c r="AJ32" s="99"/>
    </row>
    <row r="33" spans="1:36" ht="18.5" x14ac:dyDescent="0.65">
      <c r="A33" s="2"/>
      <c r="B33" s="49"/>
      <c r="C33" s="69"/>
      <c r="D33" s="54"/>
      <c r="E33" s="54"/>
      <c r="F33" s="74"/>
      <c r="G33" s="57"/>
      <c r="H33" s="57"/>
      <c r="I33" s="61"/>
      <c r="J33" s="66"/>
      <c r="K33" s="66"/>
      <c r="L33" s="30"/>
      <c r="M33" s="30"/>
      <c r="N33" s="12"/>
      <c r="O33" s="12"/>
      <c r="P33" s="12"/>
      <c r="Q33" s="12"/>
      <c r="R33" s="83"/>
      <c r="S33" s="19"/>
      <c r="T33" s="19"/>
      <c r="U33" s="19"/>
      <c r="V33" s="19"/>
      <c r="W33" s="83"/>
      <c r="X33" s="24"/>
      <c r="Y33" s="24"/>
      <c r="Z33" s="24"/>
      <c r="AA33" s="24"/>
      <c r="AB33" s="83"/>
      <c r="AC33" s="30"/>
      <c r="AD33" s="30"/>
      <c r="AE33" s="30"/>
      <c r="AF33" s="83"/>
      <c r="AG33" s="38"/>
      <c r="AH33" s="39"/>
      <c r="AI33" s="38"/>
      <c r="AJ33" s="99"/>
    </row>
    <row r="34" spans="1:36" ht="18.5" x14ac:dyDescent="0.65">
      <c r="A34" s="2"/>
      <c r="B34" s="49"/>
      <c r="C34" s="69"/>
      <c r="D34" s="54"/>
      <c r="E34" s="54"/>
      <c r="F34" s="74"/>
      <c r="G34" s="57"/>
      <c r="H34" s="57"/>
      <c r="I34" s="61"/>
      <c r="J34" s="66"/>
      <c r="K34" s="66"/>
      <c r="L34" s="30"/>
      <c r="M34" s="30"/>
      <c r="N34" s="12"/>
      <c r="O34" s="12"/>
      <c r="P34" s="12"/>
      <c r="Q34" s="12"/>
      <c r="R34" s="83"/>
      <c r="S34" s="19"/>
      <c r="T34" s="19"/>
      <c r="U34" s="19"/>
      <c r="V34" s="19"/>
      <c r="W34" s="83"/>
      <c r="X34" s="24"/>
      <c r="Y34" s="24"/>
      <c r="Z34" s="24"/>
      <c r="AA34" s="24"/>
      <c r="AB34" s="83"/>
      <c r="AC34" s="30"/>
      <c r="AD34" s="30"/>
      <c r="AE34" s="30"/>
      <c r="AF34" s="83"/>
      <c r="AG34" s="38"/>
      <c r="AH34" s="39"/>
      <c r="AI34" s="38"/>
      <c r="AJ34" s="99"/>
    </row>
    <row r="35" spans="1:36" ht="18.5" x14ac:dyDescent="0.65">
      <c r="A35" s="2"/>
      <c r="B35" s="49"/>
      <c r="C35" s="69"/>
      <c r="D35" s="54"/>
      <c r="E35" s="54"/>
      <c r="F35" s="74"/>
      <c r="G35" s="57"/>
      <c r="H35" s="57"/>
      <c r="I35" s="61"/>
      <c r="J35" s="66"/>
      <c r="K35" s="66"/>
      <c r="L35" s="30"/>
      <c r="M35" s="30"/>
      <c r="N35" s="12"/>
      <c r="O35" s="12"/>
      <c r="P35" s="12"/>
      <c r="Q35" s="12"/>
      <c r="R35" s="83"/>
      <c r="S35" s="19"/>
      <c r="T35" s="19"/>
      <c r="U35" s="19"/>
      <c r="V35" s="19"/>
      <c r="W35" s="83"/>
      <c r="X35" s="24"/>
      <c r="Y35" s="24"/>
      <c r="Z35" s="24"/>
      <c r="AA35" s="24"/>
      <c r="AB35" s="83"/>
      <c r="AC35" s="30"/>
      <c r="AD35" s="30"/>
      <c r="AE35" s="30"/>
      <c r="AF35" s="83"/>
      <c r="AG35" s="38"/>
      <c r="AH35" s="39"/>
      <c r="AI35" s="38"/>
      <c r="AJ35" s="99"/>
    </row>
    <row r="36" spans="1:36" ht="18.5" x14ac:dyDescent="0.65">
      <c r="A36" s="2"/>
      <c r="B36" s="49"/>
      <c r="C36" s="69"/>
      <c r="D36" s="54"/>
      <c r="E36" s="54"/>
      <c r="F36" s="74"/>
      <c r="G36" s="57"/>
      <c r="H36" s="57"/>
      <c r="I36" s="61"/>
      <c r="J36" s="66"/>
      <c r="K36" s="66"/>
      <c r="L36" s="30"/>
      <c r="M36" s="30"/>
      <c r="N36" s="12"/>
      <c r="O36" s="12"/>
      <c r="P36" s="12"/>
      <c r="Q36" s="12"/>
      <c r="R36" s="83"/>
      <c r="S36" s="19"/>
      <c r="T36" s="19"/>
      <c r="U36" s="19"/>
      <c r="V36" s="19"/>
      <c r="W36" s="83"/>
      <c r="X36" s="24"/>
      <c r="Y36" s="24"/>
      <c r="Z36" s="24"/>
      <c r="AA36" s="24"/>
      <c r="AB36" s="83"/>
      <c r="AC36" s="30"/>
      <c r="AD36" s="30"/>
      <c r="AE36" s="30"/>
      <c r="AF36" s="83"/>
      <c r="AG36" s="38"/>
      <c r="AH36" s="39"/>
      <c r="AI36" s="38"/>
      <c r="AJ36" s="99"/>
    </row>
    <row r="37" spans="1:36" ht="18.5" x14ac:dyDescent="0.65">
      <c r="A37" s="2"/>
      <c r="B37" s="49"/>
      <c r="C37" s="69"/>
      <c r="D37" s="54"/>
      <c r="E37" s="54"/>
      <c r="F37" s="74"/>
      <c r="G37" s="57"/>
      <c r="H37" s="57"/>
      <c r="I37" s="61"/>
      <c r="J37" s="66"/>
      <c r="K37" s="66"/>
      <c r="L37" s="30"/>
      <c r="M37" s="30"/>
      <c r="N37" s="12"/>
      <c r="O37" s="12"/>
      <c r="P37" s="12"/>
      <c r="Q37" s="12"/>
      <c r="R37" s="83"/>
      <c r="S37" s="19"/>
      <c r="T37" s="19"/>
      <c r="U37" s="19"/>
      <c r="V37" s="19"/>
      <c r="W37" s="83"/>
      <c r="X37" s="24"/>
      <c r="Y37" s="24"/>
      <c r="Z37" s="24"/>
      <c r="AA37" s="24"/>
      <c r="AB37" s="83"/>
      <c r="AC37" s="30"/>
      <c r="AD37" s="30"/>
      <c r="AE37" s="30"/>
      <c r="AF37" s="83"/>
      <c r="AG37" s="38"/>
      <c r="AH37" s="39"/>
      <c r="AI37" s="38"/>
      <c r="AJ37" s="99"/>
    </row>
    <row r="38" spans="1:36" ht="18.5" x14ac:dyDescent="0.65">
      <c r="A38" s="2"/>
      <c r="B38" s="49"/>
      <c r="C38" s="69"/>
      <c r="D38" s="54"/>
      <c r="E38" s="54"/>
      <c r="F38" s="74"/>
      <c r="G38" s="57"/>
      <c r="H38" s="57"/>
      <c r="I38" s="61"/>
      <c r="J38" s="66"/>
      <c r="K38" s="66"/>
      <c r="L38" s="30"/>
      <c r="M38" s="30"/>
      <c r="N38" s="12"/>
      <c r="O38" s="12"/>
      <c r="P38" s="12"/>
      <c r="Q38" s="12"/>
      <c r="R38" s="83"/>
      <c r="S38" s="19"/>
      <c r="T38" s="19"/>
      <c r="U38" s="19"/>
      <c r="V38" s="19"/>
      <c r="W38" s="83"/>
      <c r="X38" s="24"/>
      <c r="Y38" s="24"/>
      <c r="Z38" s="24"/>
      <c r="AA38" s="24"/>
      <c r="AB38" s="83"/>
      <c r="AC38" s="30"/>
      <c r="AD38" s="30"/>
      <c r="AE38" s="30"/>
      <c r="AF38" s="83"/>
      <c r="AG38" s="38"/>
      <c r="AH38" s="39"/>
      <c r="AI38" s="38"/>
      <c r="AJ38" s="99"/>
    </row>
    <row r="39" spans="1:36" ht="18.5" x14ac:dyDescent="0.65">
      <c r="A39" s="2"/>
      <c r="B39" s="49"/>
      <c r="C39" s="69"/>
      <c r="D39" s="54"/>
      <c r="E39" s="54"/>
      <c r="F39" s="74"/>
      <c r="G39" s="57"/>
      <c r="H39" s="57"/>
      <c r="I39" s="61"/>
      <c r="J39" s="66"/>
      <c r="K39" s="66"/>
      <c r="L39" s="30"/>
      <c r="M39" s="30"/>
      <c r="N39" s="12"/>
      <c r="O39" s="12"/>
      <c r="P39" s="12"/>
      <c r="Q39" s="12"/>
      <c r="R39" s="83"/>
      <c r="S39" s="19"/>
      <c r="T39" s="19"/>
      <c r="U39" s="19"/>
      <c r="V39" s="19"/>
      <c r="W39" s="83"/>
      <c r="X39" s="24"/>
      <c r="Y39" s="24"/>
      <c r="Z39" s="24"/>
      <c r="AA39" s="24"/>
      <c r="AB39" s="83"/>
      <c r="AC39" s="30"/>
      <c r="AD39" s="30"/>
      <c r="AE39" s="30"/>
      <c r="AF39" s="83"/>
      <c r="AG39" s="38"/>
      <c r="AH39" s="39"/>
      <c r="AI39" s="38"/>
      <c r="AJ39" s="99"/>
    </row>
    <row r="40" spans="1:36" ht="18.5" x14ac:dyDescent="0.65">
      <c r="A40" s="2"/>
      <c r="B40" s="49"/>
      <c r="C40" s="69"/>
      <c r="D40" s="54"/>
      <c r="E40" s="54"/>
      <c r="F40" s="74"/>
      <c r="G40" s="57"/>
      <c r="H40" s="57"/>
      <c r="I40" s="61"/>
      <c r="J40" s="66"/>
      <c r="K40" s="66"/>
      <c r="L40" s="30"/>
      <c r="M40" s="30"/>
      <c r="N40" s="12"/>
      <c r="O40" s="12"/>
      <c r="P40" s="12"/>
      <c r="Q40" s="12"/>
      <c r="R40" s="83"/>
      <c r="S40" s="19"/>
      <c r="T40" s="19"/>
      <c r="U40" s="19"/>
      <c r="V40" s="19"/>
      <c r="W40" s="83"/>
      <c r="X40" s="24"/>
      <c r="Y40" s="24"/>
      <c r="Z40" s="24"/>
      <c r="AA40" s="24"/>
      <c r="AB40" s="83"/>
      <c r="AC40" s="30"/>
      <c r="AD40" s="30"/>
      <c r="AE40" s="30"/>
      <c r="AF40" s="83"/>
      <c r="AG40" s="38"/>
      <c r="AH40" s="39"/>
      <c r="AI40" s="38"/>
      <c r="AJ40" s="99"/>
    </row>
    <row r="41" spans="1:36" ht="18.5" x14ac:dyDescent="0.65">
      <c r="A41" s="2"/>
      <c r="B41" s="50"/>
      <c r="C41" s="70"/>
      <c r="D41" s="55"/>
      <c r="E41" s="55"/>
      <c r="F41" s="75"/>
      <c r="G41" s="58"/>
      <c r="H41" s="58"/>
      <c r="I41" s="62"/>
      <c r="AH41" s="39"/>
      <c r="AI41" s="38"/>
      <c r="AJ41" s="99"/>
    </row>
    <row r="42" spans="1:36" ht="18.5" x14ac:dyDescent="0.65">
      <c r="A42" s="2"/>
      <c r="B42" s="50"/>
      <c r="C42" s="70"/>
      <c r="D42" s="55"/>
      <c r="E42" s="55"/>
      <c r="F42" s="75"/>
      <c r="G42" s="58"/>
      <c r="H42" s="58"/>
      <c r="I42" s="62"/>
      <c r="AH42" s="39"/>
      <c r="AI42" s="38"/>
      <c r="AJ42" s="99"/>
    </row>
    <row r="43" spans="1:36" ht="18.5" x14ac:dyDescent="0.65">
      <c r="A43" s="2"/>
      <c r="B43" s="50"/>
      <c r="C43" s="70"/>
      <c r="D43" s="55"/>
      <c r="E43" s="55"/>
      <c r="F43" s="75"/>
      <c r="G43" s="58"/>
      <c r="H43" s="58"/>
      <c r="I43" s="62"/>
      <c r="AH43" s="39"/>
      <c r="AI43" s="38"/>
      <c r="AJ43" s="99"/>
    </row>
    <row r="44" spans="1:36" ht="18.5" x14ac:dyDescent="0.65">
      <c r="A44" s="2"/>
      <c r="B44" s="50"/>
      <c r="C44" s="70"/>
      <c r="D44" s="55"/>
      <c r="E44" s="55"/>
      <c r="F44" s="75"/>
      <c r="G44" s="58"/>
      <c r="H44" s="58"/>
      <c r="I44" s="62"/>
      <c r="AH44" s="39"/>
      <c r="AI44" s="38"/>
      <c r="AJ44" s="99"/>
    </row>
    <row r="45" spans="1:36" ht="18.5" x14ac:dyDescent="0.65">
      <c r="A45" s="2"/>
      <c r="B45" s="50"/>
      <c r="C45" s="70"/>
      <c r="D45" s="55"/>
      <c r="E45" s="55"/>
      <c r="F45" s="75"/>
      <c r="G45" s="58"/>
      <c r="H45" s="58"/>
      <c r="I45" s="62"/>
      <c r="AH45" s="39"/>
      <c r="AI45" s="38"/>
      <c r="AJ45" s="99"/>
    </row>
    <row r="46" spans="1:36" ht="18.5" x14ac:dyDescent="0.65">
      <c r="A46" s="2"/>
      <c r="B46" s="50"/>
      <c r="C46" s="70"/>
      <c r="D46" s="55"/>
      <c r="E46" s="55"/>
      <c r="F46" s="75"/>
      <c r="G46" s="58"/>
      <c r="H46" s="58"/>
      <c r="I46" s="62"/>
      <c r="AH46" s="39"/>
      <c r="AI46" s="38"/>
      <c r="AJ46" s="99"/>
    </row>
    <row r="47" spans="1:36" ht="18.5" x14ac:dyDescent="0.65">
      <c r="A47" s="2"/>
      <c r="B47" s="50"/>
      <c r="C47" s="70"/>
      <c r="D47" s="55"/>
      <c r="E47" s="55"/>
      <c r="F47" s="75"/>
      <c r="G47" s="58"/>
      <c r="H47" s="58"/>
      <c r="I47" s="62"/>
      <c r="AH47" s="39"/>
      <c r="AI47" s="38"/>
      <c r="AJ47" s="99"/>
    </row>
    <row r="48" spans="1:36" ht="18.5" x14ac:dyDescent="0.65">
      <c r="A48" s="2"/>
      <c r="B48" s="50"/>
      <c r="C48" s="70"/>
      <c r="D48" s="55"/>
      <c r="E48" s="55"/>
      <c r="F48" s="75"/>
      <c r="G48" s="58"/>
      <c r="H48" s="58"/>
      <c r="I48" s="62"/>
      <c r="AH48" s="39"/>
      <c r="AI48" s="38"/>
      <c r="AJ48" s="99"/>
    </row>
    <row r="49" spans="1:36" ht="18.5" x14ac:dyDescent="0.65">
      <c r="A49" s="2"/>
      <c r="B49" s="50"/>
      <c r="C49" s="70"/>
      <c r="D49" s="55"/>
      <c r="E49" s="55"/>
      <c r="F49" s="75"/>
      <c r="G49" s="58"/>
      <c r="H49" s="58"/>
      <c r="I49" s="62"/>
      <c r="AH49" s="39"/>
      <c r="AI49" s="38"/>
      <c r="AJ49" s="99"/>
    </row>
    <row r="50" spans="1:36" ht="18.5" x14ac:dyDescent="0.65">
      <c r="A50" s="2"/>
      <c r="B50" s="50"/>
      <c r="C50" s="70"/>
      <c r="D50" s="55"/>
      <c r="E50" s="55"/>
      <c r="F50" s="75"/>
      <c r="G50" s="58"/>
      <c r="H50" s="58"/>
      <c r="I50" s="62"/>
      <c r="AH50" s="39"/>
      <c r="AI50" s="38"/>
      <c r="AJ50" s="99"/>
    </row>
    <row r="51" spans="1:36" ht="18.5" x14ac:dyDescent="0.65">
      <c r="A51" s="2"/>
      <c r="B51" s="50"/>
      <c r="C51" s="70"/>
      <c r="D51" s="55"/>
      <c r="E51" s="55"/>
      <c r="F51" s="75"/>
      <c r="G51" s="58"/>
      <c r="H51" s="58"/>
      <c r="I51" s="62"/>
      <c r="AH51" s="39"/>
      <c r="AI51" s="38"/>
      <c r="AJ51" s="99"/>
    </row>
    <row r="52" spans="1:36" ht="18.5" x14ac:dyDescent="0.65">
      <c r="A52" s="2"/>
      <c r="B52" s="50"/>
      <c r="C52" s="70"/>
      <c r="D52" s="55"/>
      <c r="E52" s="55"/>
      <c r="F52" s="75"/>
      <c r="G52" s="58"/>
      <c r="H52" s="58"/>
      <c r="I52" s="62"/>
      <c r="AH52" s="39"/>
      <c r="AI52" s="38"/>
      <c r="AJ52" s="99"/>
    </row>
    <row r="53" spans="1:36" ht="18.5" x14ac:dyDescent="0.65">
      <c r="A53" s="2"/>
      <c r="B53" s="50"/>
      <c r="C53" s="70"/>
      <c r="D53" s="55"/>
      <c r="E53" s="55"/>
      <c r="F53" s="75"/>
      <c r="G53" s="58"/>
      <c r="H53" s="58"/>
      <c r="I53" s="62"/>
      <c r="AH53" s="39"/>
      <c r="AI53" s="38"/>
      <c r="AJ53" s="99"/>
    </row>
    <row r="54" spans="1:36" ht="18.5" x14ac:dyDescent="0.65">
      <c r="A54" s="2"/>
      <c r="B54" s="50"/>
      <c r="C54" s="70"/>
      <c r="D54" s="55"/>
      <c r="E54" s="55"/>
      <c r="F54" s="75"/>
      <c r="G54" s="58"/>
      <c r="H54" s="58"/>
      <c r="I54" s="62"/>
      <c r="AH54" s="39"/>
      <c r="AI54" s="38"/>
      <c r="AJ54" s="99"/>
    </row>
    <row r="55" spans="1:36" ht="18.5" x14ac:dyDescent="0.65">
      <c r="A55" s="2"/>
      <c r="B55" s="50"/>
      <c r="C55" s="70"/>
      <c r="D55" s="55"/>
      <c r="E55" s="55"/>
      <c r="F55" s="75"/>
      <c r="G55" s="58"/>
      <c r="H55" s="58"/>
      <c r="I55" s="62"/>
      <c r="AH55" s="39"/>
      <c r="AI55" s="38"/>
      <c r="AJ55" s="99"/>
    </row>
    <row r="56" spans="1:36" ht="18.5" x14ac:dyDescent="0.65">
      <c r="A56" s="2"/>
      <c r="B56" s="50"/>
      <c r="C56" s="70"/>
      <c r="D56" s="55"/>
      <c r="E56" s="55"/>
      <c r="F56" s="75"/>
      <c r="G56" s="58"/>
      <c r="H56" s="58"/>
      <c r="I56" s="62"/>
      <c r="AH56" s="39"/>
      <c r="AI56" s="38"/>
      <c r="AJ56" s="99"/>
    </row>
    <row r="57" spans="1:36" ht="18.5" x14ac:dyDescent="0.65">
      <c r="A57" s="2"/>
      <c r="B57" s="50"/>
      <c r="C57" s="70"/>
      <c r="D57" s="55"/>
      <c r="E57" s="55"/>
      <c r="F57" s="75"/>
      <c r="G57" s="58"/>
      <c r="H57" s="58"/>
      <c r="I57" s="62"/>
      <c r="AH57" s="39"/>
      <c r="AI57" s="38"/>
      <c r="AJ57" s="99"/>
    </row>
    <row r="58" spans="1:36" ht="18.5" x14ac:dyDescent="0.65">
      <c r="A58" s="2"/>
      <c r="B58" s="50"/>
      <c r="C58" s="70"/>
      <c r="D58" s="55"/>
      <c r="E58" s="55"/>
      <c r="F58" s="75"/>
      <c r="G58" s="58"/>
      <c r="H58" s="58"/>
      <c r="I58" s="62"/>
      <c r="AH58" s="39"/>
      <c r="AI58" s="38"/>
      <c r="AJ58" s="99"/>
    </row>
    <row r="59" spans="1:36" ht="18.5" x14ac:dyDescent="0.65">
      <c r="A59" s="2"/>
      <c r="B59" s="50"/>
      <c r="C59" s="70"/>
      <c r="D59" s="55"/>
      <c r="E59" s="55"/>
      <c r="F59" s="75"/>
      <c r="G59" s="58"/>
      <c r="H59" s="58"/>
      <c r="I59" s="62"/>
      <c r="AH59" s="39"/>
      <c r="AI59" s="38"/>
      <c r="AJ59" s="99"/>
    </row>
    <row r="60" spans="1:36" ht="18.5" x14ac:dyDescent="0.65">
      <c r="A60" s="2"/>
      <c r="B60" s="50"/>
      <c r="C60" s="70"/>
      <c r="D60" s="55"/>
      <c r="E60" s="55"/>
      <c r="F60" s="75"/>
      <c r="G60" s="58"/>
      <c r="H60" s="58"/>
      <c r="I60" s="62"/>
      <c r="AH60" s="39"/>
      <c r="AI60" s="38"/>
      <c r="AJ60" s="99"/>
    </row>
    <row r="61" spans="1:36" ht="18.5" x14ac:dyDescent="0.65">
      <c r="A61" s="2"/>
      <c r="B61" s="50"/>
      <c r="C61" s="70"/>
      <c r="D61" s="55"/>
      <c r="E61" s="55"/>
      <c r="F61" s="75"/>
      <c r="G61" s="58"/>
      <c r="H61" s="58"/>
      <c r="I61" s="62"/>
      <c r="AH61" s="39"/>
      <c r="AI61" s="38"/>
      <c r="AJ61" s="99"/>
    </row>
    <row r="62" spans="1:36" ht="18.5" x14ac:dyDescent="0.65">
      <c r="A62" s="2"/>
      <c r="B62" s="50"/>
      <c r="C62" s="70"/>
      <c r="D62" s="55"/>
      <c r="E62" s="55"/>
      <c r="F62" s="75"/>
      <c r="G62" s="58"/>
      <c r="H62" s="58"/>
      <c r="I62" s="62"/>
      <c r="AH62" s="39"/>
      <c r="AI62" s="38"/>
      <c r="AJ62" s="99"/>
    </row>
    <row r="63" spans="1:36" ht="18.5" x14ac:dyDescent="0.65">
      <c r="A63" s="2"/>
      <c r="B63" s="50"/>
      <c r="C63" s="70"/>
      <c r="D63" s="55"/>
      <c r="E63" s="55"/>
      <c r="F63" s="75"/>
      <c r="G63" s="58"/>
      <c r="H63" s="58"/>
      <c r="I63" s="62"/>
      <c r="AH63" s="39"/>
      <c r="AI63" s="38"/>
      <c r="AJ63" s="99"/>
    </row>
    <row r="64" spans="1:36" ht="18.5" x14ac:dyDescent="0.65">
      <c r="A64" s="2"/>
      <c r="B64" s="50"/>
      <c r="C64" s="70"/>
      <c r="D64" s="55"/>
      <c r="E64" s="55"/>
      <c r="F64" s="75"/>
      <c r="G64" s="58"/>
      <c r="H64" s="58"/>
      <c r="I64" s="62"/>
      <c r="AH64" s="39"/>
      <c r="AI64" s="38"/>
      <c r="AJ64" s="99"/>
    </row>
    <row r="65" spans="1:36" ht="18.5" x14ac:dyDescent="0.65">
      <c r="A65" s="2"/>
      <c r="B65" s="50"/>
      <c r="C65" s="70"/>
      <c r="D65" s="55"/>
      <c r="E65" s="55"/>
      <c r="F65" s="75"/>
      <c r="G65" s="58"/>
      <c r="H65" s="58"/>
      <c r="I65" s="62"/>
      <c r="AH65" s="39"/>
      <c r="AI65" s="38"/>
      <c r="AJ65" s="99"/>
    </row>
    <row r="66" spans="1:36" ht="18.5" x14ac:dyDescent="0.65">
      <c r="A66" s="2"/>
      <c r="B66" s="50"/>
      <c r="C66" s="70"/>
      <c r="D66" s="55"/>
      <c r="E66" s="55"/>
      <c r="F66" s="75"/>
      <c r="G66" s="58"/>
      <c r="H66" s="58"/>
      <c r="I66" s="62"/>
      <c r="AH66" s="39"/>
      <c r="AI66" s="38"/>
      <c r="AJ66" s="99"/>
    </row>
    <row r="67" spans="1:36" ht="18.5" x14ac:dyDescent="0.65">
      <c r="A67" s="2"/>
      <c r="B67" s="50"/>
      <c r="C67" s="70"/>
      <c r="D67" s="55"/>
      <c r="E67" s="55"/>
      <c r="F67" s="75"/>
      <c r="G67" s="58"/>
      <c r="H67" s="58"/>
      <c r="I67" s="62"/>
      <c r="AH67" s="39"/>
      <c r="AI67" s="38"/>
      <c r="AJ67" s="99"/>
    </row>
    <row r="68" spans="1:36" ht="18.5" x14ac:dyDescent="0.65">
      <c r="A68" s="2"/>
      <c r="B68" s="50"/>
      <c r="C68" s="70"/>
      <c r="D68" s="55"/>
      <c r="E68" s="55"/>
      <c r="F68" s="75"/>
      <c r="G68" s="58"/>
      <c r="H68" s="58"/>
      <c r="I68" s="62"/>
      <c r="AH68" s="39"/>
      <c r="AI68" s="38"/>
      <c r="AJ68" s="99"/>
    </row>
    <row r="69" spans="1:36" ht="18.5" x14ac:dyDescent="0.65">
      <c r="A69" s="2"/>
      <c r="B69" s="50"/>
      <c r="C69" s="70"/>
      <c r="D69" s="55"/>
      <c r="E69" s="55"/>
      <c r="F69" s="75"/>
      <c r="G69" s="58"/>
      <c r="H69" s="58"/>
      <c r="I69" s="62"/>
      <c r="AH69" s="39"/>
      <c r="AI69" s="38"/>
      <c r="AJ69" s="99"/>
    </row>
    <row r="70" spans="1:36" ht="18.5" x14ac:dyDescent="0.65">
      <c r="A70" s="2"/>
      <c r="B70" s="50"/>
      <c r="C70" s="70"/>
      <c r="D70" s="55"/>
      <c r="E70" s="55"/>
      <c r="F70" s="75"/>
      <c r="G70" s="58"/>
      <c r="H70" s="58"/>
      <c r="I70" s="62"/>
      <c r="AH70" s="39"/>
      <c r="AI70" s="38"/>
      <c r="AJ70" s="99"/>
    </row>
    <row r="71" spans="1:36" ht="18.5" x14ac:dyDescent="0.65">
      <c r="A71" s="2"/>
      <c r="B71" s="50"/>
      <c r="C71" s="70"/>
      <c r="D71" s="55"/>
      <c r="E71" s="55"/>
      <c r="F71" s="75"/>
      <c r="G71" s="58"/>
      <c r="H71" s="58"/>
      <c r="I71" s="62"/>
      <c r="AH71" s="39"/>
      <c r="AI71" s="38"/>
      <c r="AJ71" s="99"/>
    </row>
    <row r="72" spans="1:36" ht="18.5" x14ac:dyDescent="0.65">
      <c r="A72" s="2"/>
      <c r="B72" s="50"/>
      <c r="C72" s="70"/>
      <c r="D72" s="55"/>
      <c r="E72" s="55"/>
      <c r="F72" s="75"/>
      <c r="G72" s="58"/>
      <c r="H72" s="58"/>
      <c r="I72" s="62"/>
      <c r="AH72" s="39"/>
      <c r="AI72" s="38"/>
      <c r="AJ72" s="99"/>
    </row>
    <row r="73" spans="1:36" ht="18.5" x14ac:dyDescent="0.65">
      <c r="A73" s="2"/>
      <c r="B73" s="50"/>
      <c r="C73" s="70"/>
      <c r="D73" s="55"/>
      <c r="E73" s="55"/>
      <c r="F73" s="75"/>
      <c r="G73" s="58"/>
      <c r="H73" s="58"/>
      <c r="I73" s="62"/>
      <c r="AH73" s="39"/>
      <c r="AI73" s="38"/>
      <c r="AJ73" s="99"/>
    </row>
    <row r="74" spans="1:36" ht="18.5" x14ac:dyDescent="0.65">
      <c r="A74" s="2"/>
      <c r="B74" s="50"/>
      <c r="C74" s="70"/>
      <c r="D74" s="55"/>
      <c r="E74" s="55"/>
      <c r="F74" s="75"/>
      <c r="G74" s="58"/>
      <c r="H74" s="58"/>
      <c r="I74" s="62"/>
      <c r="AH74" s="39"/>
      <c r="AI74" s="38"/>
      <c r="AJ74" s="99"/>
    </row>
    <row r="75" spans="1:36" ht="18.5" x14ac:dyDescent="0.65">
      <c r="A75" s="2"/>
      <c r="B75" s="50"/>
      <c r="C75" s="70"/>
      <c r="D75" s="55"/>
      <c r="E75" s="55"/>
      <c r="F75" s="75"/>
      <c r="G75" s="58"/>
      <c r="H75" s="58"/>
      <c r="I75" s="62"/>
      <c r="AH75" s="39"/>
      <c r="AI75" s="38"/>
      <c r="AJ75" s="99"/>
    </row>
    <row r="76" spans="1:36" ht="18.5" x14ac:dyDescent="0.65">
      <c r="A76" s="2"/>
      <c r="B76" s="50"/>
      <c r="C76" s="70"/>
      <c r="D76" s="55"/>
      <c r="E76" s="55"/>
      <c r="F76" s="75"/>
      <c r="G76" s="58"/>
      <c r="H76" s="58"/>
      <c r="I76" s="62"/>
      <c r="AH76" s="39"/>
      <c r="AI76" s="38"/>
      <c r="AJ76" s="99"/>
    </row>
    <row r="77" spans="1:36" ht="18.5" x14ac:dyDescent="0.65">
      <c r="A77" s="2"/>
      <c r="B77" s="50"/>
      <c r="C77" s="70"/>
      <c r="D77" s="55"/>
      <c r="E77" s="55"/>
      <c r="F77" s="75"/>
      <c r="G77" s="58"/>
      <c r="H77" s="58"/>
      <c r="I77" s="62"/>
      <c r="AH77" s="39"/>
      <c r="AI77" s="38"/>
      <c r="AJ77" s="99"/>
    </row>
    <row r="78" spans="1:36" ht="18.5" x14ac:dyDescent="0.65">
      <c r="A78" s="2"/>
      <c r="B78" s="50"/>
      <c r="C78" s="70"/>
      <c r="D78" s="55"/>
      <c r="E78" s="55"/>
      <c r="F78" s="75"/>
      <c r="G78" s="58"/>
      <c r="H78" s="58"/>
      <c r="I78" s="62"/>
      <c r="AH78" s="39"/>
      <c r="AI78" s="38"/>
      <c r="AJ78" s="99"/>
    </row>
    <row r="79" spans="1:36" ht="18.5" x14ac:dyDescent="0.65">
      <c r="A79" s="2"/>
      <c r="B79" s="50"/>
      <c r="C79" s="70"/>
      <c r="D79" s="55"/>
      <c r="E79" s="55"/>
      <c r="F79" s="75"/>
      <c r="G79" s="58"/>
      <c r="H79" s="58"/>
      <c r="I79" s="62"/>
      <c r="AH79" s="39"/>
      <c r="AI79" s="38"/>
      <c r="AJ79" s="99"/>
    </row>
    <row r="80" spans="1:36" ht="18.5" x14ac:dyDescent="0.65">
      <c r="A80" s="2"/>
      <c r="B80" s="50"/>
      <c r="C80" s="70"/>
      <c r="D80" s="55"/>
      <c r="E80" s="55"/>
      <c r="F80" s="75"/>
      <c r="G80" s="58"/>
      <c r="H80" s="58"/>
      <c r="I80" s="62"/>
      <c r="AH80" s="39"/>
      <c r="AI80" s="38"/>
      <c r="AJ80" s="99"/>
    </row>
    <row r="81" spans="1:36" ht="18.5" x14ac:dyDescent="0.65">
      <c r="A81" s="2"/>
      <c r="B81" s="50"/>
      <c r="C81" s="70"/>
      <c r="D81" s="55"/>
      <c r="E81" s="55"/>
      <c r="F81" s="75"/>
      <c r="G81" s="58"/>
      <c r="H81" s="58"/>
      <c r="I81" s="62"/>
      <c r="AH81" s="39"/>
      <c r="AI81" s="38"/>
      <c r="AJ81" s="99"/>
    </row>
    <row r="82" spans="1:36" ht="18.5" x14ac:dyDescent="0.65">
      <c r="A82" s="2"/>
      <c r="B82" s="50"/>
      <c r="C82" s="70"/>
      <c r="D82" s="55"/>
      <c r="E82" s="55"/>
      <c r="F82" s="75"/>
      <c r="G82" s="58"/>
      <c r="H82" s="58"/>
      <c r="I82" s="62"/>
      <c r="AH82" s="39"/>
      <c r="AI82" s="38"/>
      <c r="AJ82" s="99"/>
    </row>
    <row r="83" spans="1:36" ht="18.5" x14ac:dyDescent="0.65">
      <c r="A83" s="2"/>
      <c r="B83" s="50"/>
      <c r="C83" s="70"/>
      <c r="D83" s="55"/>
      <c r="E83" s="55"/>
      <c r="F83" s="75"/>
      <c r="G83" s="58"/>
      <c r="H83" s="58"/>
      <c r="I83" s="62"/>
      <c r="AH83" s="39"/>
      <c r="AI83" s="38"/>
      <c r="AJ83" s="99"/>
    </row>
    <row r="84" spans="1:36" ht="18.5" x14ac:dyDescent="0.65">
      <c r="A84" s="2"/>
      <c r="B84" s="50"/>
      <c r="C84" s="70"/>
      <c r="D84" s="55"/>
      <c r="E84" s="55"/>
      <c r="F84" s="75"/>
      <c r="G84" s="58"/>
      <c r="H84" s="58"/>
      <c r="I84" s="62"/>
      <c r="AH84" s="39"/>
      <c r="AI84" s="38"/>
      <c r="AJ84" s="99"/>
    </row>
    <row r="85" spans="1:36" ht="18.5" x14ac:dyDescent="0.65">
      <c r="A85" s="2"/>
      <c r="B85" s="50"/>
      <c r="C85" s="70"/>
      <c r="D85" s="55"/>
      <c r="E85" s="55"/>
      <c r="F85" s="75"/>
      <c r="G85" s="58"/>
      <c r="H85" s="58"/>
      <c r="I85" s="62"/>
      <c r="AH85" s="39"/>
      <c r="AI85" s="38"/>
      <c r="AJ85" s="99"/>
    </row>
    <row r="86" spans="1:36" ht="18.5" x14ac:dyDescent="0.65">
      <c r="A86" s="2"/>
      <c r="B86" s="50"/>
      <c r="C86" s="70"/>
      <c r="D86" s="55"/>
      <c r="E86" s="55"/>
      <c r="F86" s="75"/>
      <c r="G86" s="58"/>
      <c r="H86" s="58"/>
      <c r="I86" s="62"/>
      <c r="AH86" s="39"/>
      <c r="AI86" s="38"/>
      <c r="AJ86" s="99"/>
    </row>
    <row r="87" spans="1:36" ht="18.5" x14ac:dyDescent="0.65">
      <c r="A87" s="2"/>
      <c r="B87" s="50"/>
      <c r="C87" s="70"/>
      <c r="D87" s="55"/>
      <c r="E87" s="55"/>
      <c r="F87" s="75"/>
      <c r="G87" s="58"/>
      <c r="H87" s="58"/>
      <c r="I87" s="62"/>
      <c r="AH87" s="39"/>
      <c r="AI87" s="38"/>
      <c r="AJ87" s="99"/>
    </row>
    <row r="88" spans="1:36" ht="18.5" x14ac:dyDescent="0.65">
      <c r="A88" s="2"/>
      <c r="B88" s="50"/>
      <c r="C88" s="70"/>
      <c r="D88" s="55"/>
      <c r="E88" s="55"/>
      <c r="F88" s="75"/>
      <c r="G88" s="58"/>
      <c r="H88" s="58"/>
      <c r="I88" s="62"/>
      <c r="AH88" s="39"/>
      <c r="AI88" s="38"/>
      <c r="AJ88" s="99"/>
    </row>
    <row r="89" spans="1:36" ht="18.5" x14ac:dyDescent="0.65">
      <c r="A89" s="2"/>
      <c r="B89" s="50"/>
      <c r="C89" s="70"/>
      <c r="D89" s="55"/>
      <c r="E89" s="55"/>
      <c r="F89" s="75"/>
      <c r="G89" s="58"/>
      <c r="H89" s="58"/>
      <c r="I89" s="62"/>
      <c r="AH89" s="39"/>
      <c r="AI89" s="38"/>
      <c r="AJ89" s="99"/>
    </row>
    <row r="90" spans="1:36" ht="18.5" x14ac:dyDescent="0.65">
      <c r="A90" s="2"/>
      <c r="B90" s="50"/>
      <c r="C90" s="70"/>
      <c r="D90" s="55"/>
      <c r="E90" s="55"/>
      <c r="F90" s="75"/>
      <c r="G90" s="58"/>
      <c r="H90" s="58"/>
      <c r="I90" s="62"/>
      <c r="AH90" s="39"/>
      <c r="AI90" s="38"/>
      <c r="AJ90" s="99"/>
    </row>
    <row r="91" spans="1:36" ht="17" x14ac:dyDescent="0.6">
      <c r="A91" s="2"/>
      <c r="B91" s="50"/>
      <c r="C91" s="70"/>
      <c r="D91" s="55"/>
      <c r="E91" s="55"/>
      <c r="F91" s="75"/>
      <c r="G91" s="58"/>
      <c r="H91" s="58"/>
      <c r="I91" s="62"/>
      <c r="AH91" s="40"/>
    </row>
    <row r="92" spans="1:36" ht="17" x14ac:dyDescent="0.6">
      <c r="A92" s="2"/>
      <c r="B92" s="50"/>
      <c r="C92" s="70"/>
      <c r="D92" s="55"/>
      <c r="E92" s="55"/>
      <c r="F92" s="75"/>
      <c r="G92" s="58"/>
      <c r="H92" s="58"/>
      <c r="I92" s="62"/>
      <c r="AH92" s="40"/>
    </row>
    <row r="93" spans="1:36" x14ac:dyDescent="0.35">
      <c r="A93" s="2"/>
      <c r="B93" s="50"/>
      <c r="C93" s="70"/>
      <c r="D93" s="55"/>
      <c r="E93" s="55"/>
      <c r="F93" s="75"/>
      <c r="G93" s="58"/>
      <c r="H93" s="58"/>
      <c r="I93" s="62"/>
    </row>
    <row r="94" spans="1:36" x14ac:dyDescent="0.35">
      <c r="A94" s="2"/>
      <c r="B94" s="50"/>
      <c r="C94" s="70"/>
      <c r="D94" s="55"/>
      <c r="E94" s="55"/>
      <c r="F94" s="75"/>
      <c r="G94" s="58"/>
      <c r="H94" s="58"/>
      <c r="I94" s="62"/>
    </row>
    <row r="95" spans="1:36" x14ac:dyDescent="0.35">
      <c r="A95" s="2"/>
      <c r="B95" s="50"/>
      <c r="C95" s="70"/>
      <c r="D95" s="55"/>
      <c r="E95" s="55"/>
      <c r="F95" s="75"/>
      <c r="G95" s="58"/>
      <c r="H95" s="58"/>
      <c r="I95" s="62"/>
    </row>
    <row r="96" spans="1:36" x14ac:dyDescent="0.35">
      <c r="A96" s="2"/>
      <c r="B96" s="50"/>
      <c r="C96" s="70"/>
      <c r="D96" s="55"/>
      <c r="E96" s="55"/>
      <c r="F96" s="75"/>
      <c r="G96" s="58"/>
      <c r="H96" s="58"/>
      <c r="I96" s="62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C25CF-C5D1-429E-ABC0-28BFA39DA551}">
  <dimension ref="A1:AJ96"/>
  <sheetViews>
    <sheetView workbookViewId="0">
      <pane xSplit="1" topLeftCell="B1" activePane="topRight" state="frozen"/>
      <selection pane="topRight" activeCell="AC22" sqref="AC22"/>
    </sheetView>
  </sheetViews>
  <sheetFormatPr defaultRowHeight="14.5" x14ac:dyDescent="0.35"/>
  <cols>
    <col min="1" max="1" width="24.36328125" customWidth="1"/>
    <col min="2" max="2" width="14.6328125" style="51" customWidth="1"/>
    <col min="3" max="3" width="13.08984375" style="71" customWidth="1"/>
    <col min="4" max="5" width="13.90625" style="56" customWidth="1"/>
    <col min="6" max="6" width="13.453125" style="76" customWidth="1"/>
    <col min="7" max="7" width="14.36328125" style="15" customWidth="1"/>
    <col min="8" max="8" width="13.36328125" style="15" customWidth="1"/>
    <col min="9" max="9" width="14.36328125" style="63" customWidth="1"/>
    <col min="10" max="10" width="14.453125" style="51" customWidth="1"/>
    <col min="11" max="11" width="14.26953125" style="51" customWidth="1"/>
    <col min="12" max="12" width="14" style="26" customWidth="1"/>
    <col min="13" max="13" width="13.36328125" style="26" customWidth="1"/>
    <col min="14" max="17" width="8.81640625" bestFit="1" customWidth="1"/>
    <col min="18" max="18" width="8.81640625" style="10" customWidth="1"/>
    <col min="19" max="20" width="8.81640625" style="15" bestFit="1" customWidth="1"/>
    <col min="21" max="21" width="8.81640625" style="15" customWidth="1"/>
    <col min="22" max="22" width="8.81640625" style="15" bestFit="1" customWidth="1"/>
    <col min="23" max="23" width="8.81640625" style="10" customWidth="1"/>
    <col min="24" max="24" width="10.08984375" style="20" bestFit="1" customWidth="1"/>
    <col min="25" max="25" width="8.81640625" style="20" bestFit="1" customWidth="1"/>
    <col min="26" max="26" width="8.81640625" style="20" customWidth="1"/>
    <col min="27" max="27" width="8.81640625" style="20" bestFit="1" customWidth="1"/>
    <col min="28" max="28" width="8.81640625" style="10" customWidth="1"/>
    <col min="29" max="30" width="8.81640625" style="26" bestFit="1" customWidth="1"/>
    <col min="31" max="31" width="10.08984375" style="26" bestFit="1" customWidth="1"/>
    <col min="32" max="32" width="10.08984375" style="10" customWidth="1"/>
    <col min="33" max="33" width="10.08984375" style="31" bestFit="1" customWidth="1"/>
    <col min="34" max="35" width="8.7265625" style="31"/>
    <col min="36" max="36" width="8.7265625" style="100"/>
  </cols>
  <sheetData>
    <row r="1" spans="1:36" s="10" customFormat="1" ht="85" x14ac:dyDescent="0.35">
      <c r="A1" s="6" t="s">
        <v>1</v>
      </c>
      <c r="B1" s="47" t="s">
        <v>32</v>
      </c>
      <c r="C1" s="67" t="s">
        <v>36</v>
      </c>
      <c r="D1" s="52" t="s">
        <v>31</v>
      </c>
      <c r="E1" s="52" t="s">
        <v>30</v>
      </c>
      <c r="F1" s="72" t="s">
        <v>35</v>
      </c>
      <c r="G1" s="16" t="s">
        <v>33</v>
      </c>
      <c r="H1" s="16" t="s">
        <v>34</v>
      </c>
      <c r="I1" s="59" t="s">
        <v>27</v>
      </c>
      <c r="J1" s="64" t="s">
        <v>29</v>
      </c>
      <c r="K1" s="64" t="s">
        <v>28</v>
      </c>
      <c r="L1" s="11" t="s">
        <v>37</v>
      </c>
      <c r="M1" s="11" t="s">
        <v>38</v>
      </c>
      <c r="N1" s="6" t="s">
        <v>39</v>
      </c>
      <c r="O1" s="6" t="s">
        <v>40</v>
      </c>
      <c r="P1" s="6" t="s">
        <v>41</v>
      </c>
      <c r="Q1" s="6" t="s">
        <v>42</v>
      </c>
      <c r="R1" s="6" t="s">
        <v>23</v>
      </c>
      <c r="S1" s="16" t="s">
        <v>43</v>
      </c>
      <c r="T1" s="16" t="s">
        <v>44</v>
      </c>
      <c r="U1" s="16" t="s">
        <v>61</v>
      </c>
      <c r="V1" s="16" t="s">
        <v>45</v>
      </c>
      <c r="W1" s="7" t="s">
        <v>23</v>
      </c>
      <c r="X1" s="21" t="s">
        <v>46</v>
      </c>
      <c r="Y1" s="21" t="s">
        <v>47</v>
      </c>
      <c r="Z1" s="21" t="s">
        <v>62</v>
      </c>
      <c r="AA1" s="21" t="s">
        <v>48</v>
      </c>
      <c r="AB1" s="7" t="s">
        <v>23</v>
      </c>
      <c r="AC1" s="11" t="s">
        <v>49</v>
      </c>
      <c r="AD1" s="11" t="s">
        <v>50</v>
      </c>
      <c r="AE1" s="11" t="s">
        <v>51</v>
      </c>
      <c r="AF1" s="7" t="s">
        <v>23</v>
      </c>
      <c r="AG1" s="32" t="s">
        <v>52</v>
      </c>
      <c r="AH1" s="32" t="s">
        <v>53</v>
      </c>
      <c r="AI1" s="32" t="s">
        <v>54</v>
      </c>
      <c r="AJ1" s="94" t="s">
        <v>23</v>
      </c>
    </row>
    <row r="2" spans="1:36" ht="18.5" x14ac:dyDescent="0.65">
      <c r="A2" s="3" t="s">
        <v>18</v>
      </c>
      <c r="B2" s="48">
        <v>1301615</v>
      </c>
      <c r="C2" s="68">
        <f t="shared" ref="C2:C10" si="0">SUM(D2:E2)</f>
        <v>63662</v>
      </c>
      <c r="D2" s="53">
        <v>44825</v>
      </c>
      <c r="E2" s="53">
        <v>18837</v>
      </c>
      <c r="F2" s="73">
        <f t="shared" ref="F2:F10" si="1">SUM(G2:H2)</f>
        <v>10624</v>
      </c>
      <c r="G2" s="17">
        <v>1759</v>
      </c>
      <c r="H2" s="17">
        <v>8865</v>
      </c>
      <c r="I2" s="60">
        <f t="shared" ref="I2:I10" si="2">SUM(J2:K2)</f>
        <v>30173</v>
      </c>
      <c r="J2" s="48">
        <v>11299</v>
      </c>
      <c r="K2" s="48">
        <v>18874</v>
      </c>
      <c r="L2" s="27">
        <v>18094</v>
      </c>
      <c r="M2" s="27">
        <v>780</v>
      </c>
      <c r="N2" s="13">
        <v>14659</v>
      </c>
      <c r="O2" s="13">
        <v>3348</v>
      </c>
      <c r="P2" s="13">
        <v>87</v>
      </c>
      <c r="Q2" s="13">
        <v>780</v>
      </c>
      <c r="R2" s="88">
        <f>SUM(N2:Q2)</f>
        <v>18874</v>
      </c>
      <c r="S2" s="17">
        <v>18815</v>
      </c>
      <c r="T2" s="17">
        <v>21</v>
      </c>
      <c r="U2" s="17">
        <v>0</v>
      </c>
      <c r="V2" s="17">
        <v>38</v>
      </c>
      <c r="W2" s="88">
        <f>SUM(S2:V2)</f>
        <v>18874</v>
      </c>
      <c r="X2" s="22">
        <v>18794</v>
      </c>
      <c r="Y2" s="23">
        <v>42</v>
      </c>
      <c r="Z2" s="23">
        <v>0</v>
      </c>
      <c r="AA2" s="23">
        <v>38</v>
      </c>
      <c r="AB2" s="88">
        <f>SUM(X2:AA2)</f>
        <v>18874</v>
      </c>
      <c r="AC2" s="27">
        <v>537</v>
      </c>
      <c r="AD2" s="27">
        <v>18299</v>
      </c>
      <c r="AE2" s="28">
        <v>38</v>
      </c>
      <c r="AF2" s="87">
        <f>SUM(AC2:AE2)</f>
        <v>18874</v>
      </c>
      <c r="AG2" s="33">
        <v>18094</v>
      </c>
      <c r="AH2" s="34">
        <v>40</v>
      </c>
      <c r="AI2" s="33">
        <v>740</v>
      </c>
      <c r="AJ2" s="95">
        <f>SUM(AG2:AI2)</f>
        <v>18874</v>
      </c>
    </row>
    <row r="3" spans="1:36" ht="18.5" x14ac:dyDescent="0.65">
      <c r="A3" s="3" t="s">
        <v>6</v>
      </c>
      <c r="B3" s="48">
        <v>759110</v>
      </c>
      <c r="C3" s="68">
        <f t="shared" si="0"/>
        <v>23851</v>
      </c>
      <c r="D3" s="53">
        <v>22062</v>
      </c>
      <c r="E3" s="53">
        <v>1789</v>
      </c>
      <c r="F3" s="73">
        <f t="shared" si="1"/>
        <v>28838</v>
      </c>
      <c r="G3" s="17">
        <v>13977</v>
      </c>
      <c r="H3" s="17">
        <v>14861</v>
      </c>
      <c r="I3" s="60">
        <f t="shared" si="2"/>
        <v>20017</v>
      </c>
      <c r="J3" s="65">
        <v>9941</v>
      </c>
      <c r="K3" s="65">
        <v>10076</v>
      </c>
      <c r="L3" s="28">
        <v>9825</v>
      </c>
      <c r="M3" s="28">
        <v>251</v>
      </c>
      <c r="N3" s="14">
        <v>6489</v>
      </c>
      <c r="O3" s="14">
        <v>3236</v>
      </c>
      <c r="P3" s="14">
        <v>100</v>
      </c>
      <c r="Q3" s="14">
        <v>251</v>
      </c>
      <c r="R3" s="87">
        <f>SUM(N3:Q3)</f>
        <v>10076</v>
      </c>
      <c r="S3" s="18">
        <v>10050</v>
      </c>
      <c r="T3" s="18">
        <v>24</v>
      </c>
      <c r="U3" s="18">
        <v>0</v>
      </c>
      <c r="V3" s="18">
        <v>2</v>
      </c>
      <c r="W3" s="88">
        <f>SUM(S3:V3)</f>
        <v>10076</v>
      </c>
      <c r="X3" s="22">
        <v>10057</v>
      </c>
      <c r="Y3" s="22">
        <v>17</v>
      </c>
      <c r="Z3" s="22">
        <v>0</v>
      </c>
      <c r="AA3" s="22">
        <v>2</v>
      </c>
      <c r="AB3" s="87">
        <f>SUM(X3:AA3)</f>
        <v>10076</v>
      </c>
      <c r="AC3" s="28">
        <v>8521</v>
      </c>
      <c r="AD3" s="28">
        <v>1553</v>
      </c>
      <c r="AE3" s="28">
        <v>2</v>
      </c>
      <c r="AF3" s="87">
        <f>SUM(AC3:AE3)</f>
        <v>10076</v>
      </c>
      <c r="AG3" s="33">
        <v>9362</v>
      </c>
      <c r="AH3" s="33">
        <v>36</v>
      </c>
      <c r="AI3" s="33">
        <v>678</v>
      </c>
      <c r="AJ3" s="95">
        <f>SUM(AG3:AI3)</f>
        <v>10076</v>
      </c>
    </row>
    <row r="4" spans="1:36" ht="34" x14ac:dyDescent="0.35">
      <c r="A4" s="4" t="s">
        <v>9</v>
      </c>
      <c r="B4" s="48">
        <v>24253</v>
      </c>
      <c r="C4" s="68">
        <f t="shared" si="0"/>
        <v>1567</v>
      </c>
      <c r="D4" s="53">
        <v>559</v>
      </c>
      <c r="E4" s="53">
        <v>1008</v>
      </c>
      <c r="F4" s="73">
        <f t="shared" si="1"/>
        <v>2317</v>
      </c>
      <c r="G4" s="17">
        <v>168</v>
      </c>
      <c r="H4" s="17">
        <v>2149</v>
      </c>
      <c r="I4" s="60">
        <f t="shared" si="2"/>
        <v>1329</v>
      </c>
      <c r="J4" s="48">
        <v>813</v>
      </c>
      <c r="K4" s="48">
        <v>516</v>
      </c>
      <c r="L4" s="27">
        <v>473</v>
      </c>
      <c r="M4" s="27">
        <v>43</v>
      </c>
      <c r="N4" s="13">
        <v>381</v>
      </c>
      <c r="O4" s="13">
        <v>89</v>
      </c>
      <c r="P4" s="13">
        <v>3</v>
      </c>
      <c r="Q4" s="13">
        <v>43</v>
      </c>
      <c r="R4" s="88">
        <f>SUM(N4:Q4)</f>
        <v>516</v>
      </c>
      <c r="S4" s="17">
        <v>513</v>
      </c>
      <c r="T4" s="17">
        <v>3</v>
      </c>
      <c r="U4" s="17">
        <v>0</v>
      </c>
      <c r="V4" s="17">
        <v>0</v>
      </c>
      <c r="W4" s="88">
        <f t="shared" ref="W4:W10" si="3">SUM(S4:V4)</f>
        <v>516</v>
      </c>
      <c r="X4" s="23">
        <v>511</v>
      </c>
      <c r="Y4" s="23">
        <v>5</v>
      </c>
      <c r="Z4" s="23">
        <v>0</v>
      </c>
      <c r="AA4" s="23">
        <v>0</v>
      </c>
      <c r="AB4" s="88">
        <f t="shared" ref="AB4:AB10" si="4">SUM(X4:AA4)</f>
        <v>516</v>
      </c>
      <c r="AC4" s="27">
        <v>447</v>
      </c>
      <c r="AD4" s="27">
        <v>69</v>
      </c>
      <c r="AE4" s="27">
        <v>0</v>
      </c>
      <c r="AF4" s="88">
        <f t="shared" ref="AF4:AF10" si="5">SUM(AC4:AE4)</f>
        <v>516</v>
      </c>
      <c r="AG4" s="35">
        <v>273</v>
      </c>
      <c r="AH4" s="35">
        <v>6</v>
      </c>
      <c r="AI4" s="35">
        <v>237</v>
      </c>
      <c r="AJ4" s="101">
        <f t="shared" ref="AJ4:AJ10" si="6">SUM(AG4:AI4)</f>
        <v>516</v>
      </c>
    </row>
    <row r="5" spans="1:36" ht="18.5" x14ac:dyDescent="0.35">
      <c r="A5" s="3" t="s">
        <v>11</v>
      </c>
      <c r="B5" s="48">
        <v>53132</v>
      </c>
      <c r="C5" s="68">
        <f t="shared" si="0"/>
        <v>1805</v>
      </c>
      <c r="D5" s="53">
        <v>1507</v>
      </c>
      <c r="E5" s="53">
        <v>298</v>
      </c>
      <c r="F5" s="73">
        <f t="shared" si="1"/>
        <v>2844</v>
      </c>
      <c r="G5" s="17">
        <v>340</v>
      </c>
      <c r="H5" s="17">
        <v>2504</v>
      </c>
      <c r="I5" s="60">
        <f t="shared" si="2"/>
        <v>727</v>
      </c>
      <c r="J5" s="48">
        <v>266</v>
      </c>
      <c r="K5" s="48">
        <v>461</v>
      </c>
      <c r="L5" s="27">
        <v>442</v>
      </c>
      <c r="M5" s="27">
        <v>19</v>
      </c>
      <c r="N5" s="13">
        <v>360</v>
      </c>
      <c r="O5" s="13">
        <v>76</v>
      </c>
      <c r="P5" s="13">
        <v>6</v>
      </c>
      <c r="Q5" s="13">
        <v>19</v>
      </c>
      <c r="R5" s="88">
        <f>SUM(N5:Q5)</f>
        <v>461</v>
      </c>
      <c r="S5" s="17">
        <v>460</v>
      </c>
      <c r="T5" s="17">
        <v>0</v>
      </c>
      <c r="U5" s="17">
        <v>0</v>
      </c>
      <c r="V5" s="17">
        <v>1</v>
      </c>
      <c r="W5" s="88">
        <f t="shared" si="3"/>
        <v>461</v>
      </c>
      <c r="X5" s="23">
        <v>459</v>
      </c>
      <c r="Y5" s="23">
        <v>1</v>
      </c>
      <c r="Z5" s="23">
        <v>0</v>
      </c>
      <c r="AA5" s="23">
        <v>1</v>
      </c>
      <c r="AB5" s="87">
        <f t="shared" si="4"/>
        <v>461</v>
      </c>
      <c r="AC5" s="27">
        <v>126</v>
      </c>
      <c r="AD5" s="27">
        <v>334</v>
      </c>
      <c r="AE5" s="27">
        <v>1</v>
      </c>
      <c r="AF5" s="87">
        <f t="shared" si="5"/>
        <v>461</v>
      </c>
      <c r="AG5" s="35">
        <v>436</v>
      </c>
      <c r="AH5" s="34">
        <v>1</v>
      </c>
      <c r="AI5" s="35">
        <v>24</v>
      </c>
      <c r="AJ5" s="95">
        <f t="shared" si="6"/>
        <v>461</v>
      </c>
    </row>
    <row r="6" spans="1:36" ht="18.5" x14ac:dyDescent="0.35">
      <c r="A6" s="3" t="s">
        <v>21</v>
      </c>
      <c r="B6" s="48">
        <v>5795</v>
      </c>
      <c r="C6" s="68">
        <f t="shared" si="0"/>
        <v>289</v>
      </c>
      <c r="D6" s="53">
        <v>125</v>
      </c>
      <c r="E6" s="53">
        <v>164</v>
      </c>
      <c r="F6" s="73">
        <f t="shared" si="1"/>
        <v>170</v>
      </c>
      <c r="G6" s="17">
        <v>40</v>
      </c>
      <c r="H6" s="17">
        <v>130</v>
      </c>
      <c r="I6" s="60">
        <f t="shared" si="2"/>
        <v>228</v>
      </c>
      <c r="J6" s="48">
        <v>154</v>
      </c>
      <c r="K6" s="48">
        <v>74</v>
      </c>
      <c r="L6" s="27">
        <v>63</v>
      </c>
      <c r="M6" s="27">
        <v>11</v>
      </c>
      <c r="N6" s="13">
        <v>43</v>
      </c>
      <c r="O6" s="13">
        <v>20</v>
      </c>
      <c r="P6" s="13">
        <v>0</v>
      </c>
      <c r="Q6" s="13">
        <v>11</v>
      </c>
      <c r="R6" s="88">
        <f>SUM(N6:Q6)</f>
        <v>74</v>
      </c>
      <c r="S6" s="17">
        <v>74</v>
      </c>
      <c r="T6" s="17">
        <v>0</v>
      </c>
      <c r="U6" s="17">
        <v>0</v>
      </c>
      <c r="V6" s="17">
        <v>0</v>
      </c>
      <c r="W6" s="88">
        <f t="shared" si="3"/>
        <v>74</v>
      </c>
      <c r="X6" s="23">
        <v>73</v>
      </c>
      <c r="Y6" s="23">
        <v>1</v>
      </c>
      <c r="Z6" s="23">
        <v>0</v>
      </c>
      <c r="AA6" s="23">
        <v>0</v>
      </c>
      <c r="AB6" s="87">
        <f t="shared" si="4"/>
        <v>74</v>
      </c>
      <c r="AC6" s="27">
        <v>1</v>
      </c>
      <c r="AD6" s="27">
        <v>73</v>
      </c>
      <c r="AE6" s="27">
        <v>0</v>
      </c>
      <c r="AF6" s="87">
        <f t="shared" si="5"/>
        <v>74</v>
      </c>
      <c r="AG6" s="35">
        <v>63</v>
      </c>
      <c r="AH6" s="34">
        <v>0</v>
      </c>
      <c r="AI6" s="35">
        <v>11</v>
      </c>
      <c r="AJ6" s="95">
        <f t="shared" si="6"/>
        <v>74</v>
      </c>
    </row>
    <row r="7" spans="1:36" ht="18.5" x14ac:dyDescent="0.35">
      <c r="A7" s="3" t="s">
        <v>15</v>
      </c>
      <c r="B7" s="48">
        <v>1162</v>
      </c>
      <c r="C7" s="68">
        <f t="shared" si="0"/>
        <v>50</v>
      </c>
      <c r="D7" s="53">
        <v>40</v>
      </c>
      <c r="E7" s="53">
        <v>10</v>
      </c>
      <c r="F7" s="73">
        <f t="shared" si="1"/>
        <v>164</v>
      </c>
      <c r="G7" s="17">
        <v>15</v>
      </c>
      <c r="H7" s="17">
        <v>149</v>
      </c>
      <c r="I7" s="60">
        <f t="shared" si="2"/>
        <v>50</v>
      </c>
      <c r="J7" s="48">
        <v>28</v>
      </c>
      <c r="K7" s="48">
        <v>22</v>
      </c>
      <c r="L7" s="27">
        <v>21</v>
      </c>
      <c r="M7" s="27">
        <v>1</v>
      </c>
      <c r="N7" s="13">
        <v>13</v>
      </c>
      <c r="O7" s="13">
        <v>8</v>
      </c>
      <c r="P7" s="13">
        <v>0</v>
      </c>
      <c r="Q7" s="13">
        <v>1</v>
      </c>
      <c r="R7" s="88">
        <f>SUM(N7:Q7)</f>
        <v>22</v>
      </c>
      <c r="S7" s="17">
        <v>22</v>
      </c>
      <c r="T7" s="17">
        <v>0</v>
      </c>
      <c r="U7" s="17">
        <v>0</v>
      </c>
      <c r="V7" s="17">
        <v>0</v>
      </c>
      <c r="W7" s="88">
        <f t="shared" si="3"/>
        <v>22</v>
      </c>
      <c r="X7" s="23">
        <v>22</v>
      </c>
      <c r="Y7" s="23">
        <v>0</v>
      </c>
      <c r="Z7" s="23">
        <v>0</v>
      </c>
      <c r="AA7" s="23">
        <v>0</v>
      </c>
      <c r="AB7" s="87">
        <f t="shared" si="4"/>
        <v>22</v>
      </c>
      <c r="AC7" s="27">
        <v>21</v>
      </c>
      <c r="AD7" s="27">
        <v>1</v>
      </c>
      <c r="AE7" s="27">
        <v>0</v>
      </c>
      <c r="AF7" s="87">
        <f t="shared" si="5"/>
        <v>22</v>
      </c>
      <c r="AG7" s="35">
        <v>13</v>
      </c>
      <c r="AH7" s="34">
        <v>0</v>
      </c>
      <c r="AI7" s="35">
        <v>9</v>
      </c>
      <c r="AJ7" s="95">
        <f t="shared" si="6"/>
        <v>22</v>
      </c>
    </row>
    <row r="8" spans="1:36" ht="18.5" x14ac:dyDescent="0.35">
      <c r="A8" s="3" t="s">
        <v>24</v>
      </c>
      <c r="B8" s="48">
        <v>515</v>
      </c>
      <c r="C8" s="68">
        <f t="shared" si="0"/>
        <v>15</v>
      </c>
      <c r="D8" s="53">
        <v>9</v>
      </c>
      <c r="E8" s="53">
        <v>6</v>
      </c>
      <c r="F8" s="73">
        <f t="shared" si="1"/>
        <v>45</v>
      </c>
      <c r="G8" s="17">
        <v>4</v>
      </c>
      <c r="H8" s="17">
        <v>41</v>
      </c>
      <c r="I8" s="60">
        <f t="shared" si="2"/>
        <v>42</v>
      </c>
      <c r="J8" s="48">
        <v>33</v>
      </c>
      <c r="K8" s="48">
        <v>9</v>
      </c>
      <c r="L8" s="27">
        <v>9</v>
      </c>
      <c r="M8" s="27">
        <v>0</v>
      </c>
      <c r="N8" s="13">
        <v>4</v>
      </c>
      <c r="O8" s="13">
        <v>5</v>
      </c>
      <c r="P8" s="13">
        <v>0</v>
      </c>
      <c r="Q8" s="13">
        <v>0</v>
      </c>
      <c r="R8" s="88">
        <f t="shared" ref="R8:R10" si="7">SUM(N8:Q8)</f>
        <v>9</v>
      </c>
      <c r="S8" s="17">
        <v>9</v>
      </c>
      <c r="T8" s="17">
        <v>0</v>
      </c>
      <c r="U8" s="17">
        <v>0</v>
      </c>
      <c r="V8" s="17">
        <v>0</v>
      </c>
      <c r="W8" s="88">
        <f t="shared" si="3"/>
        <v>9</v>
      </c>
      <c r="X8" s="23">
        <v>9</v>
      </c>
      <c r="Y8" s="23">
        <v>0</v>
      </c>
      <c r="Z8" s="23">
        <v>0</v>
      </c>
      <c r="AA8" s="23">
        <v>0</v>
      </c>
      <c r="AB8" s="87">
        <f t="shared" si="4"/>
        <v>9</v>
      </c>
      <c r="AC8" s="27">
        <v>8</v>
      </c>
      <c r="AD8" s="27">
        <v>1</v>
      </c>
      <c r="AE8" s="27">
        <v>0</v>
      </c>
      <c r="AF8" s="87">
        <f t="shared" si="5"/>
        <v>9</v>
      </c>
      <c r="AG8" s="35">
        <v>5</v>
      </c>
      <c r="AH8" s="34">
        <v>1</v>
      </c>
      <c r="AI8" s="35">
        <v>3</v>
      </c>
      <c r="AJ8" s="95">
        <f t="shared" si="6"/>
        <v>9</v>
      </c>
    </row>
    <row r="9" spans="1:36" ht="18.5" x14ac:dyDescent="0.35">
      <c r="A9" s="3" t="s">
        <v>25</v>
      </c>
      <c r="B9" s="48">
        <v>9963</v>
      </c>
      <c r="C9" s="68">
        <f t="shared" si="0"/>
        <v>515</v>
      </c>
      <c r="D9" s="53">
        <v>420</v>
      </c>
      <c r="E9" s="53">
        <v>95</v>
      </c>
      <c r="F9" s="73">
        <f t="shared" si="1"/>
        <v>250</v>
      </c>
      <c r="G9" s="17">
        <v>42</v>
      </c>
      <c r="H9" s="17">
        <v>208</v>
      </c>
      <c r="I9" s="60">
        <f t="shared" si="2"/>
        <v>63</v>
      </c>
      <c r="J9" s="48">
        <v>43</v>
      </c>
      <c r="K9" s="48">
        <v>20</v>
      </c>
      <c r="L9" s="27">
        <v>19</v>
      </c>
      <c r="M9" s="27">
        <v>1</v>
      </c>
      <c r="N9" s="13">
        <v>15</v>
      </c>
      <c r="O9" s="13">
        <v>4</v>
      </c>
      <c r="P9" s="13">
        <v>0</v>
      </c>
      <c r="Q9" s="13">
        <v>1</v>
      </c>
      <c r="R9" s="88">
        <f t="shared" si="7"/>
        <v>20</v>
      </c>
      <c r="S9" s="17">
        <v>20</v>
      </c>
      <c r="T9" s="17">
        <v>0</v>
      </c>
      <c r="U9" s="17">
        <v>0</v>
      </c>
      <c r="V9" s="17">
        <v>0</v>
      </c>
      <c r="W9" s="88">
        <f t="shared" si="3"/>
        <v>20</v>
      </c>
      <c r="X9" s="23">
        <v>20</v>
      </c>
      <c r="Y9" s="23">
        <v>0</v>
      </c>
      <c r="Z9" s="23">
        <v>0</v>
      </c>
      <c r="AA9" s="23">
        <v>0</v>
      </c>
      <c r="AB9" s="87">
        <f t="shared" si="4"/>
        <v>20</v>
      </c>
      <c r="AC9" s="27">
        <v>12</v>
      </c>
      <c r="AD9" s="27">
        <v>8</v>
      </c>
      <c r="AE9" s="27">
        <v>0</v>
      </c>
      <c r="AF9" s="87">
        <f t="shared" si="5"/>
        <v>20</v>
      </c>
      <c r="AG9" s="35">
        <v>18</v>
      </c>
      <c r="AH9" s="34">
        <v>0</v>
      </c>
      <c r="AI9" s="35">
        <v>2</v>
      </c>
      <c r="AJ9" s="95">
        <f t="shared" si="6"/>
        <v>20</v>
      </c>
    </row>
    <row r="10" spans="1:36" ht="18.5" x14ac:dyDescent="0.35">
      <c r="A10" s="3" t="s">
        <v>26</v>
      </c>
      <c r="B10" s="48">
        <v>743</v>
      </c>
      <c r="C10" s="68">
        <f t="shared" si="0"/>
        <v>85</v>
      </c>
      <c r="D10" s="53">
        <v>16</v>
      </c>
      <c r="E10" s="53">
        <v>69</v>
      </c>
      <c r="F10" s="73">
        <f t="shared" si="1"/>
        <v>4</v>
      </c>
      <c r="G10" s="17">
        <v>0</v>
      </c>
      <c r="H10" s="17">
        <v>4</v>
      </c>
      <c r="I10" s="60">
        <f t="shared" si="2"/>
        <v>2</v>
      </c>
      <c r="J10" s="48">
        <v>0</v>
      </c>
      <c r="K10" s="48">
        <v>2</v>
      </c>
      <c r="L10" s="27">
        <v>2</v>
      </c>
      <c r="M10" s="27">
        <v>0</v>
      </c>
      <c r="N10" s="13">
        <v>2</v>
      </c>
      <c r="O10" s="13">
        <v>0</v>
      </c>
      <c r="P10" s="13">
        <v>0</v>
      </c>
      <c r="Q10" s="13">
        <v>0</v>
      </c>
      <c r="R10" s="88">
        <f t="shared" si="7"/>
        <v>2</v>
      </c>
      <c r="S10" s="17">
        <v>2</v>
      </c>
      <c r="T10" s="17">
        <v>0</v>
      </c>
      <c r="U10" s="17">
        <v>0</v>
      </c>
      <c r="V10" s="17">
        <v>0</v>
      </c>
      <c r="W10" s="88">
        <f t="shared" si="3"/>
        <v>2</v>
      </c>
      <c r="X10" s="23">
        <v>2</v>
      </c>
      <c r="Y10" s="23">
        <v>0</v>
      </c>
      <c r="Z10" s="23">
        <v>0</v>
      </c>
      <c r="AA10" s="23">
        <v>0</v>
      </c>
      <c r="AB10" s="87">
        <f t="shared" si="4"/>
        <v>2</v>
      </c>
      <c r="AC10" s="27">
        <v>1</v>
      </c>
      <c r="AD10" s="27">
        <v>1</v>
      </c>
      <c r="AE10" s="27">
        <v>0</v>
      </c>
      <c r="AF10" s="87">
        <f t="shared" si="5"/>
        <v>2</v>
      </c>
      <c r="AG10" s="35">
        <v>2</v>
      </c>
      <c r="AH10" s="34">
        <v>0</v>
      </c>
      <c r="AI10" s="35">
        <v>0</v>
      </c>
      <c r="AJ10" s="95">
        <f t="shared" si="6"/>
        <v>2</v>
      </c>
    </row>
    <row r="11" spans="1:36" s="45" customFormat="1" ht="18.5" x14ac:dyDescent="0.35">
      <c r="A11" s="41" t="s">
        <v>23</v>
      </c>
      <c r="B11" s="42">
        <f t="shared" ref="B11:AI11" si="8">SUM(B2:B10)</f>
        <v>2156288</v>
      </c>
      <c r="C11" s="42">
        <f t="shared" si="8"/>
        <v>91839</v>
      </c>
      <c r="D11" s="42">
        <f t="shared" si="8"/>
        <v>69563</v>
      </c>
      <c r="E11" s="42">
        <f t="shared" si="8"/>
        <v>22276</v>
      </c>
      <c r="F11" s="42">
        <f t="shared" si="8"/>
        <v>45256</v>
      </c>
      <c r="G11" s="42">
        <f t="shared" si="8"/>
        <v>16345</v>
      </c>
      <c r="H11" s="42">
        <f t="shared" si="8"/>
        <v>28911</v>
      </c>
      <c r="I11" s="42">
        <f t="shared" si="8"/>
        <v>52631</v>
      </c>
      <c r="J11" s="42">
        <f t="shared" si="8"/>
        <v>22577</v>
      </c>
      <c r="K11" s="42">
        <f t="shared" si="8"/>
        <v>30054</v>
      </c>
      <c r="L11" s="42">
        <f t="shared" si="8"/>
        <v>28948</v>
      </c>
      <c r="M11" s="42">
        <f t="shared" si="8"/>
        <v>1106</v>
      </c>
      <c r="N11" s="42">
        <f t="shared" si="8"/>
        <v>21966</v>
      </c>
      <c r="O11" s="42">
        <f t="shared" si="8"/>
        <v>6786</v>
      </c>
      <c r="P11" s="42">
        <f t="shared" si="8"/>
        <v>196</v>
      </c>
      <c r="Q11" s="42">
        <f t="shared" si="8"/>
        <v>1106</v>
      </c>
      <c r="R11" s="89">
        <f>SUM(R2:R10)</f>
        <v>30054</v>
      </c>
      <c r="S11" s="42">
        <f t="shared" si="8"/>
        <v>29965</v>
      </c>
      <c r="T11" s="42">
        <f t="shared" si="8"/>
        <v>48</v>
      </c>
      <c r="U11" s="42">
        <f>SUM(U2:U10)</f>
        <v>0</v>
      </c>
      <c r="V11" s="42">
        <f t="shared" si="8"/>
        <v>41</v>
      </c>
      <c r="W11" s="89">
        <f>SUM(W2:W10)</f>
        <v>30054</v>
      </c>
      <c r="X11" s="42">
        <f t="shared" si="8"/>
        <v>29947</v>
      </c>
      <c r="Y11" s="42">
        <f t="shared" si="8"/>
        <v>66</v>
      </c>
      <c r="Z11" s="42">
        <f>SUM(Z2:Z10)</f>
        <v>0</v>
      </c>
      <c r="AA11" s="42">
        <f t="shared" si="8"/>
        <v>41</v>
      </c>
      <c r="AB11" s="89">
        <f>SUM(AB2:AB10)</f>
        <v>30054</v>
      </c>
      <c r="AC11" s="42">
        <f t="shared" si="8"/>
        <v>9674</v>
      </c>
      <c r="AD11" s="42">
        <f t="shared" si="8"/>
        <v>20339</v>
      </c>
      <c r="AE11" s="42">
        <f t="shared" si="8"/>
        <v>41</v>
      </c>
      <c r="AF11" s="89">
        <f>SUM(AF2:AF10)</f>
        <v>30054</v>
      </c>
      <c r="AG11" s="43">
        <f t="shared" si="8"/>
        <v>28266</v>
      </c>
      <c r="AH11" s="44">
        <f t="shared" si="8"/>
        <v>84</v>
      </c>
      <c r="AI11" s="43">
        <f t="shared" si="8"/>
        <v>1704</v>
      </c>
      <c r="AJ11" s="96">
        <f>SUM(AJ2:AJ10)</f>
        <v>30054</v>
      </c>
    </row>
    <row r="12" spans="1:36" ht="18.5" x14ac:dyDescent="0.65">
      <c r="A12" s="3"/>
      <c r="B12" s="48"/>
      <c r="C12" s="68"/>
      <c r="D12" s="53"/>
      <c r="E12" s="53"/>
      <c r="F12" s="73"/>
      <c r="G12" s="17"/>
      <c r="H12" s="17"/>
      <c r="I12" s="60"/>
      <c r="J12" s="65"/>
      <c r="K12" s="65"/>
      <c r="L12" s="28"/>
      <c r="M12" s="28"/>
      <c r="N12" s="14"/>
      <c r="O12" s="14"/>
      <c r="P12" s="14"/>
      <c r="Q12" s="14"/>
      <c r="R12" s="81"/>
      <c r="S12" s="18"/>
      <c r="T12" s="18"/>
      <c r="U12" s="18"/>
      <c r="V12" s="18"/>
      <c r="W12" s="81"/>
      <c r="X12" s="22"/>
      <c r="Y12" s="22"/>
      <c r="Z12" s="22"/>
      <c r="AA12" s="23"/>
      <c r="AB12" s="80"/>
      <c r="AC12" s="27"/>
      <c r="AD12" s="27"/>
      <c r="AE12" s="27"/>
      <c r="AF12" s="80"/>
      <c r="AG12" s="35"/>
      <c r="AH12" s="34"/>
      <c r="AI12" s="35"/>
      <c r="AJ12" s="97"/>
    </row>
    <row r="13" spans="1:36" ht="85" x14ac:dyDescent="0.35">
      <c r="A13" s="6" t="s">
        <v>55</v>
      </c>
      <c r="B13" s="47" t="s">
        <v>32</v>
      </c>
      <c r="C13" s="67" t="s">
        <v>36</v>
      </c>
      <c r="D13" s="52" t="s">
        <v>31</v>
      </c>
      <c r="E13" s="52" t="s">
        <v>30</v>
      </c>
      <c r="F13" s="72" t="s">
        <v>35</v>
      </c>
      <c r="G13" s="16" t="s">
        <v>33</v>
      </c>
      <c r="H13" s="16" t="s">
        <v>34</v>
      </c>
      <c r="I13" s="59" t="s">
        <v>27</v>
      </c>
      <c r="J13" s="64" t="s">
        <v>29</v>
      </c>
      <c r="K13" s="64" t="s">
        <v>28</v>
      </c>
      <c r="L13" s="11" t="s">
        <v>37</v>
      </c>
      <c r="M13" s="11" t="s">
        <v>38</v>
      </c>
      <c r="N13" s="6" t="s">
        <v>39</v>
      </c>
      <c r="O13" s="6" t="s">
        <v>40</v>
      </c>
      <c r="P13" s="6" t="s">
        <v>41</v>
      </c>
      <c r="Q13" s="6" t="s">
        <v>42</v>
      </c>
      <c r="R13" s="6" t="s">
        <v>23</v>
      </c>
      <c r="S13" s="16" t="s">
        <v>43</v>
      </c>
      <c r="T13" s="16" t="s">
        <v>44</v>
      </c>
      <c r="U13" s="16" t="s">
        <v>61</v>
      </c>
      <c r="V13" s="16" t="s">
        <v>45</v>
      </c>
      <c r="W13" s="7" t="s">
        <v>23</v>
      </c>
      <c r="X13" s="21" t="s">
        <v>46</v>
      </c>
      <c r="Y13" s="21" t="s">
        <v>47</v>
      </c>
      <c r="Z13" s="21" t="s">
        <v>62</v>
      </c>
      <c r="AA13" s="21" t="s">
        <v>48</v>
      </c>
      <c r="AB13" s="7" t="s">
        <v>23</v>
      </c>
      <c r="AC13" s="11" t="s">
        <v>49</v>
      </c>
      <c r="AD13" s="11" t="s">
        <v>50</v>
      </c>
      <c r="AE13" s="11" t="s">
        <v>51</v>
      </c>
      <c r="AF13" s="7" t="s">
        <v>23</v>
      </c>
      <c r="AG13" s="32" t="s">
        <v>52</v>
      </c>
      <c r="AH13" s="32" t="s">
        <v>53</v>
      </c>
      <c r="AI13" s="32" t="s">
        <v>54</v>
      </c>
      <c r="AJ13" s="94" t="s">
        <v>23</v>
      </c>
    </row>
    <row r="14" spans="1:36" ht="18.5" x14ac:dyDescent="0.65">
      <c r="A14" s="4" t="s">
        <v>56</v>
      </c>
      <c r="B14" s="48">
        <v>685964</v>
      </c>
      <c r="C14" s="79">
        <f>SUM(D14:E14)</f>
        <v>27556</v>
      </c>
      <c r="D14" s="53">
        <v>20958</v>
      </c>
      <c r="E14" s="53">
        <v>6598</v>
      </c>
      <c r="F14" s="73">
        <f>SUM(G14:H14)</f>
        <v>14030</v>
      </c>
      <c r="G14" s="17">
        <v>2871</v>
      </c>
      <c r="H14" s="17">
        <v>11159</v>
      </c>
      <c r="I14" s="60">
        <f>SUM(J14:K14)</f>
        <v>12751</v>
      </c>
      <c r="J14" s="65">
        <v>5231</v>
      </c>
      <c r="K14" s="65">
        <v>7520</v>
      </c>
      <c r="L14" s="28">
        <v>7304</v>
      </c>
      <c r="M14" s="28">
        <v>216</v>
      </c>
      <c r="N14" s="14">
        <v>5612</v>
      </c>
      <c r="O14" s="14">
        <v>1635</v>
      </c>
      <c r="P14" s="14">
        <v>57</v>
      </c>
      <c r="Q14" s="14">
        <v>216</v>
      </c>
      <c r="R14" s="87">
        <f>SUM(N14:Q14)</f>
        <v>7520</v>
      </c>
      <c r="S14" s="18">
        <v>7496</v>
      </c>
      <c r="T14" s="18">
        <v>13</v>
      </c>
      <c r="U14" s="18">
        <v>0</v>
      </c>
      <c r="V14" s="18">
        <v>11</v>
      </c>
      <c r="W14" s="87">
        <f>SUM(S14:V14)</f>
        <v>7520</v>
      </c>
      <c r="X14" s="22">
        <v>7491</v>
      </c>
      <c r="Y14" s="22">
        <v>18</v>
      </c>
      <c r="Z14" s="22">
        <v>0</v>
      </c>
      <c r="AA14" s="23">
        <v>11</v>
      </c>
      <c r="AB14" s="88">
        <f>SUM(X14:AA14)</f>
        <v>7520</v>
      </c>
      <c r="AC14" s="27">
        <v>2344</v>
      </c>
      <c r="AD14" s="27">
        <v>5165</v>
      </c>
      <c r="AE14" s="27">
        <v>11</v>
      </c>
      <c r="AF14" s="88">
        <f>SUM(AC14:AE14)</f>
        <v>7520</v>
      </c>
      <c r="AG14" s="35">
        <v>7117</v>
      </c>
      <c r="AH14" s="34">
        <v>23</v>
      </c>
      <c r="AI14" s="35">
        <v>380</v>
      </c>
      <c r="AJ14" s="101">
        <f>SUM(AG14:AI14)</f>
        <v>7520</v>
      </c>
    </row>
    <row r="15" spans="1:36" ht="18.5" x14ac:dyDescent="0.65">
      <c r="A15" s="3" t="s">
        <v>57</v>
      </c>
      <c r="B15" s="48">
        <v>711886</v>
      </c>
      <c r="C15" s="68">
        <f>SUM(D15:E15)</f>
        <v>30323</v>
      </c>
      <c r="D15" s="53">
        <v>22836</v>
      </c>
      <c r="E15" s="53">
        <v>7487</v>
      </c>
      <c r="F15" s="73">
        <f>SUM(G15:H15)</f>
        <v>14839</v>
      </c>
      <c r="G15" s="17">
        <v>6757</v>
      </c>
      <c r="H15" s="17">
        <v>8082</v>
      </c>
      <c r="I15" s="60">
        <f>SUM(J15:K15)</f>
        <v>21769</v>
      </c>
      <c r="J15" s="65">
        <v>10415</v>
      </c>
      <c r="K15" s="65">
        <v>11354</v>
      </c>
      <c r="L15" s="28">
        <v>10832</v>
      </c>
      <c r="M15" s="28">
        <v>522</v>
      </c>
      <c r="N15" s="14">
        <v>8470</v>
      </c>
      <c r="O15" s="14">
        <v>2308</v>
      </c>
      <c r="P15" s="14">
        <v>54</v>
      </c>
      <c r="Q15" s="14">
        <v>522</v>
      </c>
      <c r="R15" s="87">
        <f t="shared" ref="R15:R18" si="9">SUM(N15:Q15)</f>
        <v>11354</v>
      </c>
      <c r="S15" s="18">
        <v>11315</v>
      </c>
      <c r="T15" s="18">
        <v>18</v>
      </c>
      <c r="U15" s="18">
        <v>0</v>
      </c>
      <c r="V15" s="18">
        <v>21</v>
      </c>
      <c r="W15" s="87">
        <f t="shared" ref="W15:W18" si="10">SUM(S15:V15)</f>
        <v>11354</v>
      </c>
      <c r="X15" s="22">
        <v>11310</v>
      </c>
      <c r="Y15" s="22">
        <v>23</v>
      </c>
      <c r="Z15" s="22">
        <v>0</v>
      </c>
      <c r="AA15" s="23">
        <v>21</v>
      </c>
      <c r="AB15" s="88">
        <f t="shared" ref="AB15:AB18" si="11">SUM(X15:AA15)</f>
        <v>11354</v>
      </c>
      <c r="AC15" s="27">
        <v>3486</v>
      </c>
      <c r="AD15" s="27">
        <v>7847</v>
      </c>
      <c r="AE15" s="27">
        <v>21</v>
      </c>
      <c r="AF15" s="88">
        <f t="shared" ref="AF15:AF18" si="12">SUM(AC15:AE15)</f>
        <v>11354</v>
      </c>
      <c r="AG15" s="35">
        <v>10715</v>
      </c>
      <c r="AH15" s="34">
        <v>19</v>
      </c>
      <c r="AI15" s="35">
        <v>620</v>
      </c>
      <c r="AJ15" s="101">
        <f t="shared" ref="AJ15:AJ18" si="13">SUM(AG15:AI15)</f>
        <v>11354</v>
      </c>
    </row>
    <row r="16" spans="1:36" ht="18.5" x14ac:dyDescent="0.65">
      <c r="A16" s="3" t="s">
        <v>58</v>
      </c>
      <c r="B16" s="48">
        <v>393562</v>
      </c>
      <c r="C16" s="68">
        <f>SUM(D16:E16)</f>
        <v>16178</v>
      </c>
      <c r="D16" s="53">
        <v>11951</v>
      </c>
      <c r="E16" s="53">
        <v>4227</v>
      </c>
      <c r="F16" s="73">
        <f>SUM(G16:H16)</f>
        <v>7129</v>
      </c>
      <c r="G16" s="17">
        <v>2972</v>
      </c>
      <c r="H16" s="17">
        <v>4157</v>
      </c>
      <c r="I16" s="60">
        <f>SUM(J16:K16)</f>
        <v>7376</v>
      </c>
      <c r="J16" s="65">
        <v>3057</v>
      </c>
      <c r="K16" s="65">
        <v>4319</v>
      </c>
      <c r="L16" s="28">
        <v>4161</v>
      </c>
      <c r="M16" s="28">
        <v>158</v>
      </c>
      <c r="N16" s="14">
        <v>2976</v>
      </c>
      <c r="O16" s="14">
        <v>1152</v>
      </c>
      <c r="P16" s="14">
        <v>33</v>
      </c>
      <c r="Q16" s="14">
        <v>158</v>
      </c>
      <c r="R16" s="87">
        <f t="shared" si="9"/>
        <v>4319</v>
      </c>
      <c r="S16" s="18">
        <v>4306</v>
      </c>
      <c r="T16" s="18">
        <v>9</v>
      </c>
      <c r="U16" s="18">
        <v>0</v>
      </c>
      <c r="V16" s="18">
        <v>4</v>
      </c>
      <c r="W16" s="87">
        <f t="shared" si="10"/>
        <v>4319</v>
      </c>
      <c r="X16" s="22">
        <v>4303</v>
      </c>
      <c r="Y16" s="22">
        <v>12</v>
      </c>
      <c r="Z16" s="22">
        <v>0</v>
      </c>
      <c r="AA16" s="23">
        <v>4</v>
      </c>
      <c r="AB16" s="88">
        <f t="shared" si="11"/>
        <v>4319</v>
      </c>
      <c r="AC16" s="27">
        <v>1335</v>
      </c>
      <c r="AD16" s="27">
        <v>2980</v>
      </c>
      <c r="AE16" s="27">
        <v>4</v>
      </c>
      <c r="AF16" s="88">
        <f t="shared" si="12"/>
        <v>4319</v>
      </c>
      <c r="AG16" s="35">
        <v>4063</v>
      </c>
      <c r="AH16" s="34">
        <v>14</v>
      </c>
      <c r="AI16" s="35">
        <v>242</v>
      </c>
      <c r="AJ16" s="101">
        <f t="shared" si="13"/>
        <v>4319</v>
      </c>
    </row>
    <row r="17" spans="1:36" ht="18.5" x14ac:dyDescent="0.65">
      <c r="A17" s="3" t="s">
        <v>59</v>
      </c>
      <c r="B17" s="48">
        <v>364695</v>
      </c>
      <c r="C17" s="68">
        <f>SUM(D17:E17)</f>
        <v>17782</v>
      </c>
      <c r="D17" s="53">
        <v>13818</v>
      </c>
      <c r="E17" s="53">
        <v>3964</v>
      </c>
      <c r="F17" s="73">
        <f>SUM(G17:H17)</f>
        <v>9258</v>
      </c>
      <c r="G17" s="17">
        <v>3745</v>
      </c>
      <c r="H17" s="17">
        <v>5513</v>
      </c>
      <c r="I17" s="60">
        <f>SUM(J17:K17)</f>
        <v>10717</v>
      </c>
      <c r="J17" s="65">
        <v>3856</v>
      </c>
      <c r="K17" s="65">
        <v>6861</v>
      </c>
      <c r="L17" s="28">
        <v>6651</v>
      </c>
      <c r="M17" s="28">
        <v>210</v>
      </c>
      <c r="N17" s="14">
        <v>4908</v>
      </c>
      <c r="O17" s="14">
        <v>1691</v>
      </c>
      <c r="P17" s="14">
        <v>52</v>
      </c>
      <c r="Q17" s="14">
        <v>210</v>
      </c>
      <c r="R17" s="87">
        <f t="shared" si="9"/>
        <v>6861</v>
      </c>
      <c r="S17" s="18">
        <v>6848</v>
      </c>
      <c r="T17" s="18">
        <v>8</v>
      </c>
      <c r="U17" s="18">
        <v>0</v>
      </c>
      <c r="V17" s="18">
        <v>5</v>
      </c>
      <c r="W17" s="87">
        <f t="shared" si="10"/>
        <v>6861</v>
      </c>
      <c r="X17" s="22">
        <v>6843</v>
      </c>
      <c r="Y17" s="22">
        <v>13</v>
      </c>
      <c r="Z17" s="22">
        <v>0</v>
      </c>
      <c r="AA17" s="23">
        <v>5</v>
      </c>
      <c r="AB17" s="88">
        <f t="shared" si="11"/>
        <v>6861</v>
      </c>
      <c r="AC17" s="27">
        <v>2509</v>
      </c>
      <c r="AD17" s="27">
        <v>4347</v>
      </c>
      <c r="AE17" s="27">
        <v>5</v>
      </c>
      <c r="AF17" s="88">
        <f t="shared" si="12"/>
        <v>6861</v>
      </c>
      <c r="AG17" s="35">
        <v>6371</v>
      </c>
      <c r="AH17" s="34">
        <v>28</v>
      </c>
      <c r="AI17" s="35">
        <v>462</v>
      </c>
      <c r="AJ17" s="101">
        <f t="shared" si="13"/>
        <v>6861</v>
      </c>
    </row>
    <row r="18" spans="1:36" ht="24" x14ac:dyDescent="0.35">
      <c r="A18" s="77" t="s">
        <v>60</v>
      </c>
      <c r="B18" s="49">
        <v>181</v>
      </c>
      <c r="C18" s="69">
        <f>SUM(D18:E18)</f>
        <v>0</v>
      </c>
      <c r="D18" s="54">
        <v>0</v>
      </c>
      <c r="E18" s="54">
        <v>0</v>
      </c>
      <c r="F18" s="74">
        <f>SUM(G18:H18)</f>
        <v>0</v>
      </c>
      <c r="G18" s="57">
        <v>0</v>
      </c>
      <c r="H18" s="57">
        <v>0</v>
      </c>
      <c r="I18" s="61">
        <f>SUM(J18:K18)</f>
        <v>18</v>
      </c>
      <c r="J18" s="49">
        <v>18</v>
      </c>
      <c r="K18" s="49">
        <v>0</v>
      </c>
      <c r="L18" s="29">
        <v>0</v>
      </c>
      <c r="M18" s="29">
        <v>0</v>
      </c>
      <c r="N18" s="5">
        <v>0</v>
      </c>
      <c r="O18" s="5">
        <v>0</v>
      </c>
      <c r="P18" s="5">
        <v>0</v>
      </c>
      <c r="Q18" s="5">
        <v>0</v>
      </c>
      <c r="R18" s="87">
        <f t="shared" si="9"/>
        <v>0</v>
      </c>
      <c r="S18" s="57">
        <v>0</v>
      </c>
      <c r="T18" s="57">
        <v>0</v>
      </c>
      <c r="U18" s="57">
        <v>0</v>
      </c>
      <c r="V18" s="57">
        <v>0</v>
      </c>
      <c r="W18" s="88">
        <f t="shared" si="10"/>
        <v>0</v>
      </c>
      <c r="X18" s="25">
        <v>0</v>
      </c>
      <c r="Y18" s="25">
        <v>0</v>
      </c>
      <c r="Z18" s="25">
        <v>0</v>
      </c>
      <c r="AA18" s="25">
        <v>0</v>
      </c>
      <c r="AB18" s="88">
        <f t="shared" si="11"/>
        <v>0</v>
      </c>
      <c r="AC18" s="29">
        <v>0</v>
      </c>
      <c r="AD18" s="29">
        <v>0</v>
      </c>
      <c r="AE18" s="29">
        <v>0</v>
      </c>
      <c r="AF18" s="88">
        <f t="shared" si="12"/>
        <v>0</v>
      </c>
      <c r="AG18" s="36">
        <v>0</v>
      </c>
      <c r="AH18" s="37">
        <v>0</v>
      </c>
      <c r="AI18" s="36">
        <v>0</v>
      </c>
      <c r="AJ18" s="101">
        <f t="shared" si="13"/>
        <v>0</v>
      </c>
    </row>
    <row r="19" spans="1:36" s="78" customFormat="1" ht="18.5" x14ac:dyDescent="0.65">
      <c r="A19" s="41" t="s">
        <v>23</v>
      </c>
      <c r="B19" s="102">
        <f>SUM(B14:B18)</f>
        <v>2156288</v>
      </c>
      <c r="C19" s="102">
        <f>SUM(C14:C18)</f>
        <v>91839</v>
      </c>
      <c r="D19" s="102">
        <f>SUM(D14:D18)</f>
        <v>69563</v>
      </c>
      <c r="E19" s="102">
        <f>SUM(E14:E18)</f>
        <v>22276</v>
      </c>
      <c r="F19" s="102">
        <f>SUM(F14:F18)</f>
        <v>45256</v>
      </c>
      <c r="G19" s="102">
        <f>SUM(G14:G18)</f>
        <v>16345</v>
      </c>
      <c r="H19" s="102">
        <f>SUM(H14:H18)</f>
        <v>28911</v>
      </c>
      <c r="I19" s="102">
        <f>SUM(I14:I18)</f>
        <v>52631</v>
      </c>
      <c r="J19" s="103">
        <f>SUM(J14:J18)</f>
        <v>22577</v>
      </c>
      <c r="K19" s="103">
        <f>SUM(K14:K18)</f>
        <v>30054</v>
      </c>
      <c r="L19" s="103">
        <f>SUM(L14:L18)</f>
        <v>28948</v>
      </c>
      <c r="M19" s="103">
        <f>SUM(M14:M18)</f>
        <v>1106</v>
      </c>
      <c r="N19" s="103">
        <f>SUM(N14:N18)</f>
        <v>21966</v>
      </c>
      <c r="O19" s="103">
        <f>SUM(O14:O18)</f>
        <v>6786</v>
      </c>
      <c r="P19" s="103">
        <f>SUM(P14:P18)</f>
        <v>196</v>
      </c>
      <c r="Q19" s="103">
        <f>SUM(Q14:Q18)</f>
        <v>1106</v>
      </c>
      <c r="R19" s="92">
        <f>SUM(R14:R18)</f>
        <v>30054</v>
      </c>
      <c r="S19" s="103">
        <f>SUM(S14:S18)</f>
        <v>29965</v>
      </c>
      <c r="T19" s="103">
        <f>SUM(T14:T18)</f>
        <v>48</v>
      </c>
      <c r="U19" s="103">
        <f>SUM(U14:U18)</f>
        <v>0</v>
      </c>
      <c r="V19" s="103">
        <f>SUM(V14:V18)</f>
        <v>41</v>
      </c>
      <c r="W19" s="92">
        <f>SUM(W14:W18)</f>
        <v>30054</v>
      </c>
      <c r="X19" s="103">
        <f>SUM(X14:X18)</f>
        <v>29947</v>
      </c>
      <c r="Y19" s="103">
        <f>SUM(Y14:Y18)</f>
        <v>66</v>
      </c>
      <c r="Z19" s="103">
        <f>SUM(Z14:Z18)</f>
        <v>0</v>
      </c>
      <c r="AA19" s="102">
        <f>SUM(AA14:AA18)</f>
        <v>41</v>
      </c>
      <c r="AB19" s="93">
        <f>SUM(AB14:AB18)</f>
        <v>30054</v>
      </c>
      <c r="AC19" s="102">
        <f>SUM(AC14:AC18)</f>
        <v>9674</v>
      </c>
      <c r="AD19" s="102">
        <f>SUM(AD14:AD18)</f>
        <v>20339</v>
      </c>
      <c r="AE19" s="102">
        <f>SUM(AE14:AE18)</f>
        <v>41</v>
      </c>
      <c r="AF19" s="93">
        <f>SUM(AF14:AF18)</f>
        <v>30054</v>
      </c>
      <c r="AG19" s="104">
        <f>SUM(AG14:AG18)</f>
        <v>28266</v>
      </c>
      <c r="AH19" s="105">
        <f>SUM(AH14:AH18)</f>
        <v>84</v>
      </c>
      <c r="AI19" s="104">
        <f>SUM(AI14:AI18)</f>
        <v>1704</v>
      </c>
      <c r="AJ19" s="106">
        <f>SUM(AJ14:AJ18)</f>
        <v>30054</v>
      </c>
    </row>
    <row r="20" spans="1:36" ht="18.5" x14ac:dyDescent="0.65">
      <c r="A20" s="3"/>
      <c r="B20" s="49"/>
      <c r="C20" s="69"/>
      <c r="D20" s="54"/>
      <c r="E20" s="54"/>
      <c r="F20" s="74"/>
      <c r="G20" s="57"/>
      <c r="H20" s="57"/>
      <c r="I20" s="61"/>
      <c r="J20" s="66"/>
      <c r="K20" s="66"/>
      <c r="L20" s="30"/>
      <c r="M20" s="30"/>
      <c r="N20" s="12"/>
      <c r="O20" s="12"/>
      <c r="P20" s="12"/>
      <c r="Q20" s="12"/>
      <c r="R20" s="83"/>
      <c r="S20" s="19"/>
      <c r="T20" s="19"/>
      <c r="U20" s="19"/>
      <c r="V20" s="19"/>
      <c r="W20" s="83"/>
      <c r="X20" s="24"/>
      <c r="Y20" s="24"/>
      <c r="Z20" s="24"/>
      <c r="AA20" s="25"/>
      <c r="AB20" s="82"/>
      <c r="AC20" s="29"/>
      <c r="AD20" s="29"/>
      <c r="AE20" s="29"/>
      <c r="AF20" s="82"/>
      <c r="AG20" s="36"/>
      <c r="AH20" s="37"/>
      <c r="AI20" s="36"/>
      <c r="AJ20" s="98"/>
    </row>
    <row r="21" spans="1:36" ht="18.5" x14ac:dyDescent="0.65">
      <c r="A21" s="3"/>
      <c r="B21" s="49"/>
      <c r="C21" s="69"/>
      <c r="D21" s="54"/>
      <c r="E21" s="54"/>
      <c r="F21" s="74"/>
      <c r="G21" s="57"/>
      <c r="H21" s="57"/>
      <c r="I21" s="61"/>
      <c r="J21" s="66"/>
      <c r="K21" s="66"/>
      <c r="L21" s="30"/>
      <c r="M21" s="30"/>
      <c r="N21" s="12"/>
      <c r="O21" s="12"/>
      <c r="P21" s="12"/>
      <c r="Q21" s="12"/>
      <c r="R21" s="83"/>
      <c r="S21" s="19"/>
      <c r="T21" s="19"/>
      <c r="U21" s="19"/>
      <c r="V21" s="19"/>
      <c r="W21" s="83"/>
      <c r="X21" s="24"/>
      <c r="Y21" s="24"/>
      <c r="Z21" s="24"/>
      <c r="AA21" s="24"/>
      <c r="AB21" s="83"/>
      <c r="AC21" s="30"/>
      <c r="AD21" s="30"/>
      <c r="AE21" s="30"/>
      <c r="AF21" s="83"/>
      <c r="AG21" s="38"/>
      <c r="AH21" s="39"/>
      <c r="AI21" s="38"/>
      <c r="AJ21" s="99"/>
    </row>
    <row r="22" spans="1:36" ht="18.5" x14ac:dyDescent="0.65">
      <c r="A22" s="2"/>
      <c r="B22" s="49"/>
      <c r="C22" s="69"/>
      <c r="D22" s="54"/>
      <c r="E22" s="54"/>
      <c r="F22" s="74"/>
      <c r="G22" s="57"/>
      <c r="H22" s="57"/>
      <c r="I22" s="61"/>
      <c r="J22" s="66"/>
      <c r="K22" s="66"/>
      <c r="L22" s="30"/>
      <c r="M22" s="30"/>
      <c r="N22" s="12"/>
      <c r="O22" s="12"/>
      <c r="P22" s="12"/>
      <c r="Q22" s="12"/>
      <c r="R22" s="83"/>
      <c r="S22" s="19"/>
      <c r="T22" s="19"/>
      <c r="U22" s="19"/>
      <c r="V22" s="19"/>
      <c r="W22" s="83"/>
      <c r="X22" s="24"/>
      <c r="Y22" s="24"/>
      <c r="Z22" s="24"/>
      <c r="AA22" s="24"/>
      <c r="AB22" s="83"/>
      <c r="AC22" s="30"/>
      <c r="AD22" s="30"/>
      <c r="AE22" s="30"/>
      <c r="AF22" s="83"/>
      <c r="AG22" s="38"/>
      <c r="AH22" s="39"/>
      <c r="AI22" s="38"/>
      <c r="AJ22" s="99"/>
    </row>
    <row r="23" spans="1:36" ht="18.5" x14ac:dyDescent="0.65">
      <c r="A23" s="2"/>
      <c r="B23" s="49"/>
      <c r="C23" s="69"/>
      <c r="D23" s="54"/>
      <c r="E23" s="54"/>
      <c r="F23" s="74"/>
      <c r="G23" s="57"/>
      <c r="H23" s="57"/>
      <c r="I23" s="61"/>
      <c r="J23" s="66"/>
      <c r="K23" s="66"/>
      <c r="L23" s="30"/>
      <c r="M23" s="30"/>
      <c r="N23" s="12"/>
      <c r="O23" s="12"/>
      <c r="P23" s="12"/>
      <c r="Q23" s="12"/>
      <c r="R23" s="83"/>
      <c r="S23" s="19"/>
      <c r="T23" s="19"/>
      <c r="U23" s="19"/>
      <c r="V23" s="19"/>
      <c r="W23" s="83"/>
      <c r="X23" s="24"/>
      <c r="Y23" s="24"/>
      <c r="Z23" s="24"/>
      <c r="AA23" s="24"/>
      <c r="AB23" s="83"/>
      <c r="AC23" s="30"/>
      <c r="AD23" s="30"/>
      <c r="AE23" s="30"/>
      <c r="AF23" s="83"/>
      <c r="AG23" s="38"/>
      <c r="AH23" s="39"/>
      <c r="AI23" s="38"/>
      <c r="AJ23" s="99"/>
    </row>
    <row r="24" spans="1:36" ht="18.5" x14ac:dyDescent="0.65">
      <c r="A24" s="2"/>
      <c r="B24" s="49"/>
      <c r="C24" s="69"/>
      <c r="D24" s="54"/>
      <c r="E24" s="54"/>
      <c r="F24" s="74"/>
      <c r="G24" s="57"/>
      <c r="H24" s="57"/>
      <c r="I24" s="61"/>
      <c r="J24" s="66"/>
      <c r="K24" s="66"/>
      <c r="L24" s="30"/>
      <c r="M24" s="30"/>
      <c r="N24" s="12"/>
      <c r="O24" s="12"/>
      <c r="P24" s="12"/>
      <c r="Q24" s="12"/>
      <c r="R24" s="83"/>
      <c r="S24" s="19"/>
      <c r="T24" s="19"/>
      <c r="U24" s="19"/>
      <c r="V24" s="19"/>
      <c r="W24" s="83"/>
      <c r="X24" s="24"/>
      <c r="Y24" s="24"/>
      <c r="Z24" s="24"/>
      <c r="AA24" s="24"/>
      <c r="AB24" s="83"/>
      <c r="AC24" s="30"/>
      <c r="AD24" s="30"/>
      <c r="AE24" s="30"/>
      <c r="AF24" s="83"/>
      <c r="AG24" s="38"/>
      <c r="AH24" s="39"/>
      <c r="AI24" s="38"/>
      <c r="AJ24" s="99"/>
    </row>
    <row r="25" spans="1:36" ht="18.5" x14ac:dyDescent="0.65">
      <c r="A25" s="2"/>
      <c r="B25" s="49"/>
      <c r="C25" s="69"/>
      <c r="D25" s="54"/>
      <c r="E25" s="54"/>
      <c r="F25" s="74"/>
      <c r="G25" s="57"/>
      <c r="H25" s="57"/>
      <c r="I25" s="61"/>
      <c r="J25" s="66"/>
      <c r="K25" s="66"/>
      <c r="L25" s="30"/>
      <c r="M25" s="30"/>
      <c r="N25" s="12"/>
      <c r="O25" s="12"/>
      <c r="P25" s="12"/>
      <c r="Q25" s="12"/>
      <c r="R25" s="83"/>
      <c r="S25" s="19"/>
      <c r="T25" s="19"/>
      <c r="U25" s="19"/>
      <c r="V25" s="19"/>
      <c r="W25" s="83"/>
      <c r="X25" s="24"/>
      <c r="Y25" s="24"/>
      <c r="Z25" s="24"/>
      <c r="AA25" s="24"/>
      <c r="AB25" s="83"/>
      <c r="AC25" s="30"/>
      <c r="AD25" s="30"/>
      <c r="AE25" s="30"/>
      <c r="AF25" s="83"/>
      <c r="AG25" s="38"/>
      <c r="AH25" s="39"/>
      <c r="AI25" s="38"/>
      <c r="AJ25" s="99"/>
    </row>
    <row r="26" spans="1:36" ht="18.5" x14ac:dyDescent="0.65">
      <c r="A26" s="2"/>
      <c r="B26" s="49"/>
      <c r="C26" s="69"/>
      <c r="D26" s="54"/>
      <c r="E26" s="54"/>
      <c r="F26" s="74"/>
      <c r="G26" s="57"/>
      <c r="H26" s="57"/>
      <c r="I26" s="61"/>
      <c r="J26" s="66"/>
      <c r="K26" s="66"/>
      <c r="L26" s="30"/>
      <c r="M26" s="30"/>
      <c r="N26" s="12"/>
      <c r="O26" s="12"/>
      <c r="P26" s="12"/>
      <c r="Q26" s="12"/>
      <c r="R26" s="83"/>
      <c r="S26" s="19"/>
      <c r="T26" s="19"/>
      <c r="U26" s="19"/>
      <c r="V26" s="19"/>
      <c r="W26" s="83"/>
      <c r="X26" s="24"/>
      <c r="Y26" s="24"/>
      <c r="Z26" s="24"/>
      <c r="AA26" s="24"/>
      <c r="AB26" s="83"/>
      <c r="AC26" s="30"/>
      <c r="AD26" s="30"/>
      <c r="AE26" s="30"/>
      <c r="AF26" s="83"/>
      <c r="AG26" s="38"/>
      <c r="AH26" s="39"/>
      <c r="AI26" s="38"/>
      <c r="AJ26" s="99"/>
    </row>
    <row r="27" spans="1:36" ht="18.5" x14ac:dyDescent="0.65">
      <c r="A27" s="2"/>
      <c r="B27" s="49"/>
      <c r="C27" s="69"/>
      <c r="D27" s="54"/>
      <c r="E27" s="54"/>
      <c r="F27" s="74"/>
      <c r="G27" s="57"/>
      <c r="H27" s="57"/>
      <c r="I27" s="61"/>
      <c r="J27" s="66"/>
      <c r="K27" s="66"/>
      <c r="L27" s="30"/>
      <c r="M27" s="30"/>
      <c r="N27" s="12"/>
      <c r="O27" s="12"/>
      <c r="P27" s="12"/>
      <c r="Q27" s="12"/>
      <c r="R27" s="83"/>
      <c r="S27" s="19"/>
      <c r="T27" s="19"/>
      <c r="U27" s="19"/>
      <c r="V27" s="19"/>
      <c r="W27" s="83"/>
      <c r="X27" s="24"/>
      <c r="Y27" s="24"/>
      <c r="Z27" s="24"/>
      <c r="AA27" s="24"/>
      <c r="AB27" s="83"/>
      <c r="AC27" s="30"/>
      <c r="AD27" s="30"/>
      <c r="AE27" s="30"/>
      <c r="AF27" s="83"/>
      <c r="AG27" s="38"/>
      <c r="AH27" s="39"/>
      <c r="AI27" s="38"/>
      <c r="AJ27" s="99"/>
    </row>
    <row r="28" spans="1:36" ht="18.5" x14ac:dyDescent="0.65">
      <c r="A28" s="2"/>
      <c r="B28" s="49"/>
      <c r="C28" s="69"/>
      <c r="D28" s="54"/>
      <c r="E28" s="54"/>
      <c r="F28" s="74"/>
      <c r="G28" s="57"/>
      <c r="H28" s="57"/>
      <c r="I28" s="61"/>
      <c r="J28" s="66"/>
      <c r="K28" s="66"/>
      <c r="L28" s="30"/>
      <c r="M28" s="30"/>
      <c r="N28" s="12"/>
      <c r="O28" s="12"/>
      <c r="P28" s="12"/>
      <c r="Q28" s="12"/>
      <c r="R28" s="83"/>
      <c r="S28" s="19"/>
      <c r="T28" s="19"/>
      <c r="U28" s="19"/>
      <c r="V28" s="19"/>
      <c r="W28" s="83"/>
      <c r="X28" s="24"/>
      <c r="Y28" s="24"/>
      <c r="Z28" s="24"/>
      <c r="AA28" s="24"/>
      <c r="AB28" s="83"/>
      <c r="AC28" s="30"/>
      <c r="AD28" s="30"/>
      <c r="AE28" s="30"/>
      <c r="AF28" s="83"/>
      <c r="AG28" s="38"/>
      <c r="AH28" s="39"/>
      <c r="AI28" s="38"/>
      <c r="AJ28" s="99"/>
    </row>
    <row r="29" spans="1:36" ht="18.5" x14ac:dyDescent="0.65">
      <c r="A29" s="2"/>
      <c r="B29" s="49"/>
      <c r="C29" s="69"/>
      <c r="D29" s="54"/>
      <c r="E29" s="54"/>
      <c r="F29" s="74"/>
      <c r="G29" s="57"/>
      <c r="H29" s="57"/>
      <c r="I29" s="61"/>
      <c r="J29" s="66"/>
      <c r="K29" s="66"/>
      <c r="L29" s="30"/>
      <c r="M29" s="30"/>
      <c r="N29" s="12"/>
      <c r="O29" s="12"/>
      <c r="P29" s="12"/>
      <c r="Q29" s="12"/>
      <c r="R29" s="83"/>
      <c r="S29" s="19"/>
      <c r="T29" s="19"/>
      <c r="U29" s="19"/>
      <c r="V29" s="19"/>
      <c r="W29" s="83"/>
      <c r="X29" s="24"/>
      <c r="Y29" s="24"/>
      <c r="Z29" s="24"/>
      <c r="AA29" s="24"/>
      <c r="AB29" s="83"/>
      <c r="AC29" s="30"/>
      <c r="AD29" s="30"/>
      <c r="AE29" s="30"/>
      <c r="AF29" s="83"/>
      <c r="AG29" s="38"/>
      <c r="AH29" s="39"/>
      <c r="AI29" s="38"/>
      <c r="AJ29" s="99"/>
    </row>
    <row r="30" spans="1:36" ht="18.5" x14ac:dyDescent="0.65">
      <c r="A30" s="2"/>
      <c r="B30" s="49"/>
      <c r="C30" s="69"/>
      <c r="D30" s="54"/>
      <c r="E30" s="54"/>
      <c r="F30" s="74"/>
      <c r="G30" s="57"/>
      <c r="H30" s="57"/>
      <c r="I30" s="61"/>
      <c r="J30" s="66"/>
      <c r="K30" s="66"/>
      <c r="L30" s="30"/>
      <c r="M30" s="30"/>
      <c r="N30" s="12"/>
      <c r="O30" s="12"/>
      <c r="P30" s="12"/>
      <c r="Q30" s="12"/>
      <c r="R30" s="83"/>
      <c r="S30" s="19"/>
      <c r="T30" s="19"/>
      <c r="U30" s="19"/>
      <c r="V30" s="19"/>
      <c r="W30" s="83"/>
      <c r="X30" s="24"/>
      <c r="Y30" s="24"/>
      <c r="Z30" s="24"/>
      <c r="AA30" s="24"/>
      <c r="AB30" s="83"/>
      <c r="AC30" s="30"/>
      <c r="AD30" s="30"/>
      <c r="AE30" s="30"/>
      <c r="AF30" s="83"/>
      <c r="AG30" s="38"/>
      <c r="AH30" s="39"/>
      <c r="AI30" s="38"/>
      <c r="AJ30" s="99"/>
    </row>
    <row r="31" spans="1:36" ht="18.5" x14ac:dyDescent="0.65">
      <c r="A31" s="2"/>
      <c r="B31" s="49"/>
      <c r="C31" s="69"/>
      <c r="D31" s="54"/>
      <c r="E31" s="54"/>
      <c r="F31" s="74"/>
      <c r="G31" s="57"/>
      <c r="H31" s="57"/>
      <c r="I31" s="61"/>
      <c r="J31" s="66"/>
      <c r="K31" s="66"/>
      <c r="L31" s="30"/>
      <c r="M31" s="30"/>
      <c r="N31" s="12"/>
      <c r="O31" s="12"/>
      <c r="P31" s="12"/>
      <c r="Q31" s="12"/>
      <c r="R31" s="83"/>
      <c r="S31" s="19"/>
      <c r="T31" s="19"/>
      <c r="U31" s="19"/>
      <c r="V31" s="19"/>
      <c r="W31" s="83"/>
      <c r="X31" s="24"/>
      <c r="Y31" s="24"/>
      <c r="Z31" s="24"/>
      <c r="AA31" s="24"/>
      <c r="AB31" s="83"/>
      <c r="AC31" s="30"/>
      <c r="AD31" s="30"/>
      <c r="AE31" s="30"/>
      <c r="AF31" s="83"/>
      <c r="AG31" s="38"/>
      <c r="AH31" s="39"/>
      <c r="AI31" s="38"/>
      <c r="AJ31" s="99"/>
    </row>
    <row r="32" spans="1:36" ht="18.5" x14ac:dyDescent="0.65">
      <c r="A32" s="2"/>
      <c r="B32" s="49"/>
      <c r="C32" s="69"/>
      <c r="D32" s="54"/>
      <c r="E32" s="54"/>
      <c r="F32" s="74"/>
      <c r="G32" s="57"/>
      <c r="H32" s="57"/>
      <c r="I32" s="61"/>
      <c r="J32" s="66"/>
      <c r="K32" s="66"/>
      <c r="L32" s="30"/>
      <c r="M32" s="30"/>
      <c r="N32" s="12"/>
      <c r="O32" s="12"/>
      <c r="P32" s="12"/>
      <c r="Q32" s="12"/>
      <c r="R32" s="83"/>
      <c r="S32" s="19"/>
      <c r="T32" s="19"/>
      <c r="U32" s="19"/>
      <c r="V32" s="19"/>
      <c r="W32" s="83"/>
      <c r="X32" s="24"/>
      <c r="Y32" s="24"/>
      <c r="Z32" s="24"/>
      <c r="AA32" s="24"/>
      <c r="AB32" s="83"/>
      <c r="AC32" s="30"/>
      <c r="AD32" s="30"/>
      <c r="AE32" s="30"/>
      <c r="AF32" s="83"/>
      <c r="AG32" s="38"/>
      <c r="AH32" s="39"/>
      <c r="AI32" s="38"/>
      <c r="AJ32" s="99"/>
    </row>
    <row r="33" spans="1:36" ht="18.5" x14ac:dyDescent="0.65">
      <c r="A33" s="2"/>
      <c r="B33" s="49"/>
      <c r="C33" s="69"/>
      <c r="D33" s="54"/>
      <c r="E33" s="54"/>
      <c r="F33" s="74"/>
      <c r="G33" s="57"/>
      <c r="H33" s="57"/>
      <c r="I33" s="61"/>
      <c r="J33" s="66"/>
      <c r="K33" s="66"/>
      <c r="L33" s="30"/>
      <c r="M33" s="30"/>
      <c r="N33" s="12"/>
      <c r="O33" s="12"/>
      <c r="P33" s="12"/>
      <c r="Q33" s="12"/>
      <c r="R33" s="83"/>
      <c r="S33" s="19"/>
      <c r="T33" s="19"/>
      <c r="U33" s="19"/>
      <c r="V33" s="19"/>
      <c r="W33" s="83"/>
      <c r="X33" s="24"/>
      <c r="Y33" s="24"/>
      <c r="Z33" s="24"/>
      <c r="AA33" s="24"/>
      <c r="AB33" s="83"/>
      <c r="AC33" s="30"/>
      <c r="AD33" s="30"/>
      <c r="AE33" s="30"/>
      <c r="AF33" s="83"/>
      <c r="AG33" s="38"/>
      <c r="AH33" s="39"/>
      <c r="AI33" s="38"/>
      <c r="AJ33" s="99"/>
    </row>
    <row r="34" spans="1:36" ht="18.5" x14ac:dyDescent="0.65">
      <c r="A34" s="2"/>
      <c r="B34" s="49"/>
      <c r="C34" s="69"/>
      <c r="D34" s="54"/>
      <c r="E34" s="54"/>
      <c r="F34" s="74"/>
      <c r="G34" s="57"/>
      <c r="H34" s="57"/>
      <c r="I34" s="61"/>
      <c r="J34" s="66"/>
      <c r="K34" s="66"/>
      <c r="L34" s="30"/>
      <c r="M34" s="30"/>
      <c r="N34" s="12"/>
      <c r="O34" s="12"/>
      <c r="P34" s="12"/>
      <c r="Q34" s="12"/>
      <c r="R34" s="83"/>
      <c r="S34" s="19"/>
      <c r="T34" s="19"/>
      <c r="U34" s="19"/>
      <c r="V34" s="19"/>
      <c r="W34" s="83"/>
      <c r="X34" s="24"/>
      <c r="Y34" s="24"/>
      <c r="Z34" s="24"/>
      <c r="AA34" s="24"/>
      <c r="AB34" s="83"/>
      <c r="AC34" s="30"/>
      <c r="AD34" s="30"/>
      <c r="AE34" s="30"/>
      <c r="AF34" s="83"/>
      <c r="AG34" s="38"/>
      <c r="AH34" s="39"/>
      <c r="AI34" s="38"/>
      <c r="AJ34" s="99"/>
    </row>
    <row r="35" spans="1:36" ht="18.5" x14ac:dyDescent="0.65">
      <c r="A35" s="2"/>
      <c r="B35" s="49"/>
      <c r="C35" s="69"/>
      <c r="D35" s="54"/>
      <c r="E35" s="54"/>
      <c r="F35" s="74"/>
      <c r="G35" s="57"/>
      <c r="H35" s="57"/>
      <c r="I35" s="61"/>
      <c r="J35" s="66"/>
      <c r="K35" s="66"/>
      <c r="L35" s="30"/>
      <c r="M35" s="30"/>
      <c r="N35" s="12"/>
      <c r="O35" s="12"/>
      <c r="P35" s="12"/>
      <c r="Q35" s="12"/>
      <c r="R35" s="83"/>
      <c r="S35" s="19"/>
      <c r="T35" s="19"/>
      <c r="U35" s="19"/>
      <c r="V35" s="19"/>
      <c r="W35" s="83"/>
      <c r="X35" s="24"/>
      <c r="Y35" s="24"/>
      <c r="Z35" s="24"/>
      <c r="AA35" s="24"/>
      <c r="AB35" s="83"/>
      <c r="AC35" s="30"/>
      <c r="AD35" s="30"/>
      <c r="AE35" s="30"/>
      <c r="AF35" s="83"/>
      <c r="AG35" s="38"/>
      <c r="AH35" s="39"/>
      <c r="AI35" s="38"/>
      <c r="AJ35" s="99"/>
    </row>
    <row r="36" spans="1:36" ht="18.5" x14ac:dyDescent="0.65">
      <c r="A36" s="2"/>
      <c r="B36" s="49"/>
      <c r="C36" s="69"/>
      <c r="D36" s="54"/>
      <c r="E36" s="54"/>
      <c r="F36" s="74"/>
      <c r="G36" s="57"/>
      <c r="H36" s="57"/>
      <c r="I36" s="61"/>
      <c r="J36" s="66"/>
      <c r="K36" s="66"/>
      <c r="L36" s="30"/>
      <c r="M36" s="30"/>
      <c r="N36" s="12"/>
      <c r="O36" s="12"/>
      <c r="P36" s="12"/>
      <c r="Q36" s="12"/>
      <c r="R36" s="83"/>
      <c r="S36" s="19"/>
      <c r="T36" s="19"/>
      <c r="U36" s="19"/>
      <c r="V36" s="19"/>
      <c r="W36" s="83"/>
      <c r="X36" s="24"/>
      <c r="Y36" s="24"/>
      <c r="Z36" s="24"/>
      <c r="AA36" s="24"/>
      <c r="AB36" s="83"/>
      <c r="AC36" s="30"/>
      <c r="AD36" s="30"/>
      <c r="AE36" s="30"/>
      <c r="AF36" s="83"/>
      <c r="AG36" s="38"/>
      <c r="AH36" s="39"/>
      <c r="AI36" s="38"/>
      <c r="AJ36" s="99"/>
    </row>
    <row r="37" spans="1:36" ht="18.5" x14ac:dyDescent="0.65">
      <c r="A37" s="2"/>
      <c r="B37" s="49"/>
      <c r="C37" s="69"/>
      <c r="D37" s="54"/>
      <c r="E37" s="54"/>
      <c r="F37" s="74"/>
      <c r="G37" s="57"/>
      <c r="H37" s="57"/>
      <c r="I37" s="61"/>
      <c r="J37" s="66"/>
      <c r="K37" s="66"/>
      <c r="L37" s="30"/>
      <c r="M37" s="30"/>
      <c r="N37" s="12"/>
      <c r="O37" s="12"/>
      <c r="P37" s="12"/>
      <c r="Q37" s="12"/>
      <c r="R37" s="83"/>
      <c r="S37" s="19"/>
      <c r="T37" s="19"/>
      <c r="U37" s="19"/>
      <c r="V37" s="19"/>
      <c r="W37" s="83"/>
      <c r="X37" s="24"/>
      <c r="Y37" s="24"/>
      <c r="Z37" s="24"/>
      <c r="AA37" s="24"/>
      <c r="AB37" s="83"/>
      <c r="AC37" s="30"/>
      <c r="AD37" s="30"/>
      <c r="AE37" s="30"/>
      <c r="AF37" s="83"/>
      <c r="AG37" s="38"/>
      <c r="AH37" s="39"/>
      <c r="AI37" s="38"/>
      <c r="AJ37" s="99"/>
    </row>
    <row r="38" spans="1:36" ht="18.5" x14ac:dyDescent="0.65">
      <c r="A38" s="2"/>
      <c r="B38" s="49"/>
      <c r="C38" s="69"/>
      <c r="D38" s="54"/>
      <c r="E38" s="54"/>
      <c r="F38" s="74"/>
      <c r="G38" s="57"/>
      <c r="H38" s="57"/>
      <c r="I38" s="61"/>
      <c r="J38" s="66"/>
      <c r="K38" s="66"/>
      <c r="L38" s="30"/>
      <c r="M38" s="30"/>
      <c r="N38" s="12"/>
      <c r="O38" s="12"/>
      <c r="P38" s="12"/>
      <c r="Q38" s="12"/>
      <c r="R38" s="83"/>
      <c r="S38" s="19"/>
      <c r="T38" s="19"/>
      <c r="U38" s="19"/>
      <c r="V38" s="19"/>
      <c r="W38" s="83"/>
      <c r="X38" s="24"/>
      <c r="Y38" s="24"/>
      <c r="Z38" s="24"/>
      <c r="AA38" s="24"/>
      <c r="AB38" s="83"/>
      <c r="AC38" s="30"/>
      <c r="AD38" s="30"/>
      <c r="AE38" s="30"/>
      <c r="AF38" s="83"/>
      <c r="AG38" s="38"/>
      <c r="AH38" s="39"/>
      <c r="AI38" s="38"/>
      <c r="AJ38" s="99"/>
    </row>
    <row r="39" spans="1:36" ht="18.5" x14ac:dyDescent="0.65">
      <c r="A39" s="2"/>
      <c r="B39" s="49"/>
      <c r="C39" s="69"/>
      <c r="D39" s="54"/>
      <c r="E39" s="54"/>
      <c r="F39" s="74"/>
      <c r="G39" s="57"/>
      <c r="H39" s="57"/>
      <c r="I39" s="61"/>
      <c r="J39" s="66"/>
      <c r="K39" s="66"/>
      <c r="L39" s="30"/>
      <c r="M39" s="30"/>
      <c r="N39" s="12"/>
      <c r="O39" s="12"/>
      <c r="P39" s="12"/>
      <c r="Q39" s="12"/>
      <c r="R39" s="83"/>
      <c r="S39" s="19"/>
      <c r="T39" s="19"/>
      <c r="U39" s="19"/>
      <c r="V39" s="19"/>
      <c r="W39" s="83"/>
      <c r="X39" s="24"/>
      <c r="Y39" s="24"/>
      <c r="Z39" s="24"/>
      <c r="AA39" s="24"/>
      <c r="AB39" s="83"/>
      <c r="AC39" s="30"/>
      <c r="AD39" s="30"/>
      <c r="AE39" s="30"/>
      <c r="AF39" s="83"/>
      <c r="AG39" s="38"/>
      <c r="AH39" s="39"/>
      <c r="AI39" s="38"/>
      <c r="AJ39" s="99"/>
    </row>
    <row r="40" spans="1:36" ht="18.5" x14ac:dyDescent="0.65">
      <c r="A40" s="2"/>
      <c r="B40" s="49"/>
      <c r="C40" s="69"/>
      <c r="D40" s="54"/>
      <c r="E40" s="54"/>
      <c r="F40" s="74"/>
      <c r="G40" s="57"/>
      <c r="H40" s="57"/>
      <c r="I40" s="61"/>
      <c r="J40" s="66"/>
      <c r="K40" s="66"/>
      <c r="L40" s="30"/>
      <c r="M40" s="30"/>
      <c r="N40" s="12"/>
      <c r="O40" s="12"/>
      <c r="P40" s="12"/>
      <c r="Q40" s="12"/>
      <c r="R40" s="83"/>
      <c r="S40" s="19"/>
      <c r="T40" s="19"/>
      <c r="U40" s="19"/>
      <c r="V40" s="19"/>
      <c r="W40" s="83"/>
      <c r="X40" s="24"/>
      <c r="Y40" s="24"/>
      <c r="Z40" s="24"/>
      <c r="AA40" s="24"/>
      <c r="AB40" s="83"/>
      <c r="AC40" s="30"/>
      <c r="AD40" s="30"/>
      <c r="AE40" s="30"/>
      <c r="AF40" s="83"/>
      <c r="AG40" s="38"/>
      <c r="AH40" s="39"/>
      <c r="AI40" s="38"/>
      <c r="AJ40" s="99"/>
    </row>
    <row r="41" spans="1:36" ht="18.5" x14ac:dyDescent="0.65">
      <c r="A41" s="2"/>
      <c r="B41" s="50"/>
      <c r="C41" s="70"/>
      <c r="D41" s="55"/>
      <c r="E41" s="55"/>
      <c r="F41" s="75"/>
      <c r="G41" s="58"/>
      <c r="H41" s="58"/>
      <c r="I41" s="62"/>
      <c r="AH41" s="39"/>
      <c r="AI41" s="38"/>
      <c r="AJ41" s="99"/>
    </row>
    <row r="42" spans="1:36" ht="18.5" x14ac:dyDescent="0.65">
      <c r="A42" s="2"/>
      <c r="B42" s="50"/>
      <c r="C42" s="70"/>
      <c r="D42" s="55"/>
      <c r="E42" s="55"/>
      <c r="F42" s="75"/>
      <c r="G42" s="58"/>
      <c r="H42" s="58"/>
      <c r="I42" s="62"/>
      <c r="AH42" s="39"/>
      <c r="AI42" s="38"/>
      <c r="AJ42" s="99"/>
    </row>
    <row r="43" spans="1:36" ht="18.5" x14ac:dyDescent="0.65">
      <c r="A43" s="2"/>
      <c r="B43" s="50"/>
      <c r="C43" s="70"/>
      <c r="D43" s="55"/>
      <c r="E43" s="55"/>
      <c r="F43" s="75"/>
      <c r="G43" s="58"/>
      <c r="H43" s="58"/>
      <c r="I43" s="62"/>
      <c r="AH43" s="39"/>
      <c r="AI43" s="38"/>
      <c r="AJ43" s="99"/>
    </row>
    <row r="44" spans="1:36" ht="18.5" x14ac:dyDescent="0.65">
      <c r="A44" s="2"/>
      <c r="B44" s="50"/>
      <c r="C44" s="70"/>
      <c r="D44" s="55"/>
      <c r="E44" s="55"/>
      <c r="F44" s="75"/>
      <c r="G44" s="58"/>
      <c r="H44" s="58"/>
      <c r="I44" s="62"/>
      <c r="AH44" s="39"/>
      <c r="AI44" s="38"/>
      <c r="AJ44" s="99"/>
    </row>
    <row r="45" spans="1:36" ht="18.5" x14ac:dyDescent="0.65">
      <c r="A45" s="2"/>
      <c r="B45" s="50"/>
      <c r="C45" s="70"/>
      <c r="D45" s="55"/>
      <c r="E45" s="55"/>
      <c r="F45" s="75"/>
      <c r="G45" s="58"/>
      <c r="H45" s="58"/>
      <c r="I45" s="62"/>
      <c r="AH45" s="39"/>
      <c r="AI45" s="38"/>
      <c r="AJ45" s="99"/>
    </row>
    <row r="46" spans="1:36" ht="18.5" x14ac:dyDescent="0.65">
      <c r="A46" s="2"/>
      <c r="B46" s="50"/>
      <c r="C46" s="70"/>
      <c r="D46" s="55"/>
      <c r="E46" s="55"/>
      <c r="F46" s="75"/>
      <c r="G46" s="58"/>
      <c r="H46" s="58"/>
      <c r="I46" s="62"/>
      <c r="AH46" s="39"/>
      <c r="AI46" s="38"/>
      <c r="AJ46" s="99"/>
    </row>
    <row r="47" spans="1:36" ht="18.5" x14ac:dyDescent="0.65">
      <c r="A47" s="2"/>
      <c r="B47" s="50"/>
      <c r="C47" s="70"/>
      <c r="D47" s="55"/>
      <c r="E47" s="55"/>
      <c r="F47" s="75"/>
      <c r="G47" s="58"/>
      <c r="H47" s="58"/>
      <c r="I47" s="62"/>
      <c r="AH47" s="39"/>
      <c r="AI47" s="38"/>
      <c r="AJ47" s="99"/>
    </row>
    <row r="48" spans="1:36" ht="18.5" x14ac:dyDescent="0.65">
      <c r="A48" s="2"/>
      <c r="B48" s="50"/>
      <c r="C48" s="70"/>
      <c r="D48" s="55"/>
      <c r="E48" s="55"/>
      <c r="F48" s="75"/>
      <c r="G48" s="58"/>
      <c r="H48" s="58"/>
      <c r="I48" s="62"/>
      <c r="AH48" s="39"/>
      <c r="AI48" s="38"/>
      <c r="AJ48" s="99"/>
    </row>
    <row r="49" spans="1:36" ht="18.5" x14ac:dyDescent="0.65">
      <c r="A49" s="2"/>
      <c r="B49" s="50"/>
      <c r="C49" s="70"/>
      <c r="D49" s="55"/>
      <c r="E49" s="55"/>
      <c r="F49" s="75"/>
      <c r="G49" s="58"/>
      <c r="H49" s="58"/>
      <c r="I49" s="62"/>
      <c r="AH49" s="39"/>
      <c r="AI49" s="38"/>
      <c r="AJ49" s="99"/>
    </row>
    <row r="50" spans="1:36" ht="18.5" x14ac:dyDescent="0.65">
      <c r="A50" s="2"/>
      <c r="B50" s="50"/>
      <c r="C50" s="70"/>
      <c r="D50" s="55"/>
      <c r="E50" s="55"/>
      <c r="F50" s="75"/>
      <c r="G50" s="58"/>
      <c r="H50" s="58"/>
      <c r="I50" s="62"/>
      <c r="AH50" s="39"/>
      <c r="AI50" s="38"/>
      <c r="AJ50" s="99"/>
    </row>
    <row r="51" spans="1:36" ht="18.5" x14ac:dyDescent="0.65">
      <c r="A51" s="2"/>
      <c r="B51" s="50"/>
      <c r="C51" s="70"/>
      <c r="D51" s="55"/>
      <c r="E51" s="55"/>
      <c r="F51" s="75"/>
      <c r="G51" s="58"/>
      <c r="H51" s="58"/>
      <c r="I51" s="62"/>
      <c r="AH51" s="39"/>
      <c r="AI51" s="38"/>
      <c r="AJ51" s="99"/>
    </row>
    <row r="52" spans="1:36" ht="18.5" x14ac:dyDescent="0.65">
      <c r="A52" s="2"/>
      <c r="B52" s="50"/>
      <c r="C52" s="70"/>
      <c r="D52" s="55"/>
      <c r="E52" s="55"/>
      <c r="F52" s="75"/>
      <c r="G52" s="58"/>
      <c r="H52" s="58"/>
      <c r="I52" s="62"/>
      <c r="AH52" s="39"/>
      <c r="AI52" s="38"/>
      <c r="AJ52" s="99"/>
    </row>
    <row r="53" spans="1:36" ht="18.5" x14ac:dyDescent="0.65">
      <c r="A53" s="2"/>
      <c r="B53" s="50"/>
      <c r="C53" s="70"/>
      <c r="D53" s="55"/>
      <c r="E53" s="55"/>
      <c r="F53" s="75"/>
      <c r="G53" s="58"/>
      <c r="H53" s="58"/>
      <c r="I53" s="62"/>
      <c r="AH53" s="39"/>
      <c r="AI53" s="38"/>
      <c r="AJ53" s="99"/>
    </row>
    <row r="54" spans="1:36" ht="18.5" x14ac:dyDescent="0.65">
      <c r="A54" s="2"/>
      <c r="B54" s="50"/>
      <c r="C54" s="70"/>
      <c r="D54" s="55"/>
      <c r="E54" s="55"/>
      <c r="F54" s="75"/>
      <c r="G54" s="58"/>
      <c r="H54" s="58"/>
      <c r="I54" s="62"/>
      <c r="AH54" s="39"/>
      <c r="AI54" s="38"/>
      <c r="AJ54" s="99"/>
    </row>
    <row r="55" spans="1:36" ht="18.5" x14ac:dyDescent="0.65">
      <c r="A55" s="2"/>
      <c r="B55" s="50"/>
      <c r="C55" s="70"/>
      <c r="D55" s="55"/>
      <c r="E55" s="55"/>
      <c r="F55" s="75"/>
      <c r="G55" s="58"/>
      <c r="H55" s="58"/>
      <c r="I55" s="62"/>
      <c r="AH55" s="39"/>
      <c r="AI55" s="38"/>
      <c r="AJ55" s="99"/>
    </row>
    <row r="56" spans="1:36" ht="18.5" x14ac:dyDescent="0.65">
      <c r="A56" s="2"/>
      <c r="B56" s="50"/>
      <c r="C56" s="70"/>
      <c r="D56" s="55"/>
      <c r="E56" s="55"/>
      <c r="F56" s="75"/>
      <c r="G56" s="58"/>
      <c r="H56" s="58"/>
      <c r="I56" s="62"/>
      <c r="AH56" s="39"/>
      <c r="AI56" s="38"/>
      <c r="AJ56" s="99"/>
    </row>
    <row r="57" spans="1:36" ht="18.5" x14ac:dyDescent="0.65">
      <c r="A57" s="2"/>
      <c r="B57" s="50"/>
      <c r="C57" s="70"/>
      <c r="D57" s="55"/>
      <c r="E57" s="55"/>
      <c r="F57" s="75"/>
      <c r="G57" s="58"/>
      <c r="H57" s="58"/>
      <c r="I57" s="62"/>
      <c r="AH57" s="39"/>
      <c r="AI57" s="38"/>
      <c r="AJ57" s="99"/>
    </row>
    <row r="58" spans="1:36" ht="18.5" x14ac:dyDescent="0.65">
      <c r="A58" s="2"/>
      <c r="B58" s="50"/>
      <c r="C58" s="70"/>
      <c r="D58" s="55"/>
      <c r="E58" s="55"/>
      <c r="F58" s="75"/>
      <c r="G58" s="58"/>
      <c r="H58" s="58"/>
      <c r="I58" s="62"/>
      <c r="AH58" s="39"/>
      <c r="AI58" s="38"/>
      <c r="AJ58" s="99"/>
    </row>
    <row r="59" spans="1:36" ht="18.5" x14ac:dyDescent="0.65">
      <c r="A59" s="2"/>
      <c r="B59" s="50"/>
      <c r="C59" s="70"/>
      <c r="D59" s="55"/>
      <c r="E59" s="55"/>
      <c r="F59" s="75"/>
      <c r="G59" s="58"/>
      <c r="H59" s="58"/>
      <c r="I59" s="62"/>
      <c r="AH59" s="39"/>
      <c r="AI59" s="38"/>
      <c r="AJ59" s="99"/>
    </row>
    <row r="60" spans="1:36" ht="18.5" x14ac:dyDescent="0.65">
      <c r="A60" s="2"/>
      <c r="B60" s="50"/>
      <c r="C60" s="70"/>
      <c r="D60" s="55"/>
      <c r="E60" s="55"/>
      <c r="F60" s="75"/>
      <c r="G60" s="58"/>
      <c r="H60" s="58"/>
      <c r="I60" s="62"/>
      <c r="AH60" s="39"/>
      <c r="AI60" s="38"/>
      <c r="AJ60" s="99"/>
    </row>
    <row r="61" spans="1:36" ht="18.5" x14ac:dyDescent="0.65">
      <c r="A61" s="2"/>
      <c r="B61" s="50"/>
      <c r="C61" s="70"/>
      <c r="D61" s="55"/>
      <c r="E61" s="55"/>
      <c r="F61" s="75"/>
      <c r="G61" s="58"/>
      <c r="H61" s="58"/>
      <c r="I61" s="62"/>
      <c r="AH61" s="39"/>
      <c r="AI61" s="38"/>
      <c r="AJ61" s="99"/>
    </row>
    <row r="62" spans="1:36" ht="18.5" x14ac:dyDescent="0.65">
      <c r="A62" s="2"/>
      <c r="B62" s="50"/>
      <c r="C62" s="70"/>
      <c r="D62" s="55"/>
      <c r="E62" s="55"/>
      <c r="F62" s="75"/>
      <c r="G62" s="58"/>
      <c r="H62" s="58"/>
      <c r="I62" s="62"/>
      <c r="AH62" s="39"/>
      <c r="AI62" s="38"/>
      <c r="AJ62" s="99"/>
    </row>
    <row r="63" spans="1:36" ht="18.5" x14ac:dyDescent="0.65">
      <c r="A63" s="2"/>
      <c r="B63" s="50"/>
      <c r="C63" s="70"/>
      <c r="D63" s="55"/>
      <c r="E63" s="55"/>
      <c r="F63" s="75"/>
      <c r="G63" s="58"/>
      <c r="H63" s="58"/>
      <c r="I63" s="62"/>
      <c r="AH63" s="39"/>
      <c r="AI63" s="38"/>
      <c r="AJ63" s="99"/>
    </row>
    <row r="64" spans="1:36" ht="18.5" x14ac:dyDescent="0.65">
      <c r="A64" s="2"/>
      <c r="B64" s="50"/>
      <c r="C64" s="70"/>
      <c r="D64" s="55"/>
      <c r="E64" s="55"/>
      <c r="F64" s="75"/>
      <c r="G64" s="58"/>
      <c r="H64" s="58"/>
      <c r="I64" s="62"/>
      <c r="AH64" s="39"/>
      <c r="AI64" s="38"/>
      <c r="AJ64" s="99"/>
    </row>
    <row r="65" spans="1:36" ht="18.5" x14ac:dyDescent="0.65">
      <c r="A65" s="2"/>
      <c r="B65" s="50"/>
      <c r="C65" s="70"/>
      <c r="D65" s="55"/>
      <c r="E65" s="55"/>
      <c r="F65" s="75"/>
      <c r="G65" s="58"/>
      <c r="H65" s="58"/>
      <c r="I65" s="62"/>
      <c r="AH65" s="39"/>
      <c r="AI65" s="38"/>
      <c r="AJ65" s="99"/>
    </row>
    <row r="66" spans="1:36" ht="18.5" x14ac:dyDescent="0.65">
      <c r="A66" s="2"/>
      <c r="B66" s="50"/>
      <c r="C66" s="70"/>
      <c r="D66" s="55"/>
      <c r="E66" s="55"/>
      <c r="F66" s="75"/>
      <c r="G66" s="58"/>
      <c r="H66" s="58"/>
      <c r="I66" s="62"/>
      <c r="AH66" s="39"/>
      <c r="AI66" s="38"/>
      <c r="AJ66" s="99"/>
    </row>
    <row r="67" spans="1:36" ht="18.5" x14ac:dyDescent="0.65">
      <c r="A67" s="2"/>
      <c r="B67" s="50"/>
      <c r="C67" s="70"/>
      <c r="D67" s="55"/>
      <c r="E67" s="55"/>
      <c r="F67" s="75"/>
      <c r="G67" s="58"/>
      <c r="H67" s="58"/>
      <c r="I67" s="62"/>
      <c r="AH67" s="39"/>
      <c r="AI67" s="38"/>
      <c r="AJ67" s="99"/>
    </row>
    <row r="68" spans="1:36" ht="18.5" x14ac:dyDescent="0.65">
      <c r="A68" s="2"/>
      <c r="B68" s="50"/>
      <c r="C68" s="70"/>
      <c r="D68" s="55"/>
      <c r="E68" s="55"/>
      <c r="F68" s="75"/>
      <c r="G68" s="58"/>
      <c r="H68" s="58"/>
      <c r="I68" s="62"/>
      <c r="AH68" s="39"/>
      <c r="AI68" s="38"/>
      <c r="AJ68" s="99"/>
    </row>
    <row r="69" spans="1:36" ht="18.5" x14ac:dyDescent="0.65">
      <c r="A69" s="2"/>
      <c r="B69" s="50"/>
      <c r="C69" s="70"/>
      <c r="D69" s="55"/>
      <c r="E69" s="55"/>
      <c r="F69" s="75"/>
      <c r="G69" s="58"/>
      <c r="H69" s="58"/>
      <c r="I69" s="62"/>
      <c r="AH69" s="39"/>
      <c r="AI69" s="38"/>
      <c r="AJ69" s="99"/>
    </row>
    <row r="70" spans="1:36" ht="18.5" x14ac:dyDescent="0.65">
      <c r="A70" s="2"/>
      <c r="B70" s="50"/>
      <c r="C70" s="70"/>
      <c r="D70" s="55"/>
      <c r="E70" s="55"/>
      <c r="F70" s="75"/>
      <c r="G70" s="58"/>
      <c r="H70" s="58"/>
      <c r="I70" s="62"/>
      <c r="AH70" s="39"/>
      <c r="AI70" s="38"/>
      <c r="AJ70" s="99"/>
    </row>
    <row r="71" spans="1:36" ht="18.5" x14ac:dyDescent="0.65">
      <c r="A71" s="2"/>
      <c r="B71" s="50"/>
      <c r="C71" s="70"/>
      <c r="D71" s="55"/>
      <c r="E71" s="55"/>
      <c r="F71" s="75"/>
      <c r="G71" s="58"/>
      <c r="H71" s="58"/>
      <c r="I71" s="62"/>
      <c r="AH71" s="39"/>
      <c r="AI71" s="38"/>
      <c r="AJ71" s="99"/>
    </row>
    <row r="72" spans="1:36" ht="18.5" x14ac:dyDescent="0.65">
      <c r="A72" s="2"/>
      <c r="B72" s="50"/>
      <c r="C72" s="70"/>
      <c r="D72" s="55"/>
      <c r="E72" s="55"/>
      <c r="F72" s="75"/>
      <c r="G72" s="58"/>
      <c r="H72" s="58"/>
      <c r="I72" s="62"/>
      <c r="AH72" s="39"/>
      <c r="AI72" s="38"/>
      <c r="AJ72" s="99"/>
    </row>
    <row r="73" spans="1:36" ht="18.5" x14ac:dyDescent="0.65">
      <c r="A73" s="2"/>
      <c r="B73" s="50"/>
      <c r="C73" s="70"/>
      <c r="D73" s="55"/>
      <c r="E73" s="55"/>
      <c r="F73" s="75"/>
      <c r="G73" s="58"/>
      <c r="H73" s="58"/>
      <c r="I73" s="62"/>
      <c r="AH73" s="39"/>
      <c r="AI73" s="38"/>
      <c r="AJ73" s="99"/>
    </row>
    <row r="74" spans="1:36" ht="18.5" x14ac:dyDescent="0.65">
      <c r="A74" s="2"/>
      <c r="B74" s="50"/>
      <c r="C74" s="70"/>
      <c r="D74" s="55"/>
      <c r="E74" s="55"/>
      <c r="F74" s="75"/>
      <c r="G74" s="58"/>
      <c r="H74" s="58"/>
      <c r="I74" s="62"/>
      <c r="AH74" s="39"/>
      <c r="AI74" s="38"/>
      <c r="AJ74" s="99"/>
    </row>
    <row r="75" spans="1:36" ht="18.5" x14ac:dyDescent="0.65">
      <c r="A75" s="2"/>
      <c r="B75" s="50"/>
      <c r="C75" s="70"/>
      <c r="D75" s="55"/>
      <c r="E75" s="55"/>
      <c r="F75" s="75"/>
      <c r="G75" s="58"/>
      <c r="H75" s="58"/>
      <c r="I75" s="62"/>
      <c r="AH75" s="39"/>
      <c r="AI75" s="38"/>
      <c r="AJ75" s="99"/>
    </row>
    <row r="76" spans="1:36" ht="18.5" x14ac:dyDescent="0.65">
      <c r="A76" s="2"/>
      <c r="B76" s="50"/>
      <c r="C76" s="70"/>
      <c r="D76" s="55"/>
      <c r="E76" s="55"/>
      <c r="F76" s="75"/>
      <c r="G76" s="58"/>
      <c r="H76" s="58"/>
      <c r="I76" s="62"/>
      <c r="AH76" s="39"/>
      <c r="AI76" s="38"/>
      <c r="AJ76" s="99"/>
    </row>
    <row r="77" spans="1:36" ht="18.5" x14ac:dyDescent="0.65">
      <c r="A77" s="2"/>
      <c r="B77" s="50"/>
      <c r="C77" s="70"/>
      <c r="D77" s="55"/>
      <c r="E77" s="55"/>
      <c r="F77" s="75"/>
      <c r="G77" s="58"/>
      <c r="H77" s="58"/>
      <c r="I77" s="62"/>
      <c r="AH77" s="39"/>
      <c r="AI77" s="38"/>
      <c r="AJ77" s="99"/>
    </row>
    <row r="78" spans="1:36" ht="18.5" x14ac:dyDescent="0.65">
      <c r="A78" s="2"/>
      <c r="B78" s="50"/>
      <c r="C78" s="70"/>
      <c r="D78" s="55"/>
      <c r="E78" s="55"/>
      <c r="F78" s="75"/>
      <c r="G78" s="58"/>
      <c r="H78" s="58"/>
      <c r="I78" s="62"/>
      <c r="AH78" s="39"/>
      <c r="AI78" s="38"/>
      <c r="AJ78" s="99"/>
    </row>
    <row r="79" spans="1:36" ht="18.5" x14ac:dyDescent="0.65">
      <c r="A79" s="2"/>
      <c r="B79" s="50"/>
      <c r="C79" s="70"/>
      <c r="D79" s="55"/>
      <c r="E79" s="55"/>
      <c r="F79" s="75"/>
      <c r="G79" s="58"/>
      <c r="H79" s="58"/>
      <c r="I79" s="62"/>
      <c r="AH79" s="39"/>
      <c r="AI79" s="38"/>
      <c r="AJ79" s="99"/>
    </row>
    <row r="80" spans="1:36" ht="18.5" x14ac:dyDescent="0.65">
      <c r="A80" s="2"/>
      <c r="B80" s="50"/>
      <c r="C80" s="70"/>
      <c r="D80" s="55"/>
      <c r="E80" s="55"/>
      <c r="F80" s="75"/>
      <c r="G80" s="58"/>
      <c r="H80" s="58"/>
      <c r="I80" s="62"/>
      <c r="AH80" s="39"/>
      <c r="AI80" s="38"/>
      <c r="AJ80" s="99"/>
    </row>
    <row r="81" spans="1:36" ht="18.5" x14ac:dyDescent="0.65">
      <c r="A81" s="2"/>
      <c r="B81" s="50"/>
      <c r="C81" s="70"/>
      <c r="D81" s="55"/>
      <c r="E81" s="55"/>
      <c r="F81" s="75"/>
      <c r="G81" s="58"/>
      <c r="H81" s="58"/>
      <c r="I81" s="62"/>
      <c r="AH81" s="39"/>
      <c r="AI81" s="38"/>
      <c r="AJ81" s="99"/>
    </row>
    <row r="82" spans="1:36" ht="18.5" x14ac:dyDescent="0.65">
      <c r="A82" s="2"/>
      <c r="B82" s="50"/>
      <c r="C82" s="70"/>
      <c r="D82" s="55"/>
      <c r="E82" s="55"/>
      <c r="F82" s="75"/>
      <c r="G82" s="58"/>
      <c r="H82" s="58"/>
      <c r="I82" s="62"/>
      <c r="AH82" s="39"/>
      <c r="AI82" s="38"/>
      <c r="AJ82" s="99"/>
    </row>
    <row r="83" spans="1:36" ht="18.5" x14ac:dyDescent="0.65">
      <c r="A83" s="2"/>
      <c r="B83" s="50"/>
      <c r="C83" s="70"/>
      <c r="D83" s="55"/>
      <c r="E83" s="55"/>
      <c r="F83" s="75"/>
      <c r="G83" s="58"/>
      <c r="H83" s="58"/>
      <c r="I83" s="62"/>
      <c r="AH83" s="39"/>
      <c r="AI83" s="38"/>
      <c r="AJ83" s="99"/>
    </row>
    <row r="84" spans="1:36" ht="18.5" x14ac:dyDescent="0.65">
      <c r="A84" s="2"/>
      <c r="B84" s="50"/>
      <c r="C84" s="70"/>
      <c r="D84" s="55"/>
      <c r="E84" s="55"/>
      <c r="F84" s="75"/>
      <c r="G84" s="58"/>
      <c r="H84" s="58"/>
      <c r="I84" s="62"/>
      <c r="AH84" s="39"/>
      <c r="AI84" s="38"/>
      <c r="AJ84" s="99"/>
    </row>
    <row r="85" spans="1:36" ht="18.5" x14ac:dyDescent="0.65">
      <c r="A85" s="2"/>
      <c r="B85" s="50"/>
      <c r="C85" s="70"/>
      <c r="D85" s="55"/>
      <c r="E85" s="55"/>
      <c r="F85" s="75"/>
      <c r="G85" s="58"/>
      <c r="H85" s="58"/>
      <c r="I85" s="62"/>
      <c r="AH85" s="39"/>
      <c r="AI85" s="38"/>
      <c r="AJ85" s="99"/>
    </row>
    <row r="86" spans="1:36" ht="18.5" x14ac:dyDescent="0.65">
      <c r="A86" s="2"/>
      <c r="B86" s="50"/>
      <c r="C86" s="70"/>
      <c r="D86" s="55"/>
      <c r="E86" s="55"/>
      <c r="F86" s="75"/>
      <c r="G86" s="58"/>
      <c r="H86" s="58"/>
      <c r="I86" s="62"/>
      <c r="AH86" s="39"/>
      <c r="AI86" s="38"/>
      <c r="AJ86" s="99"/>
    </row>
    <row r="87" spans="1:36" ht="18.5" x14ac:dyDescent="0.65">
      <c r="A87" s="2"/>
      <c r="B87" s="50"/>
      <c r="C87" s="70"/>
      <c r="D87" s="55"/>
      <c r="E87" s="55"/>
      <c r="F87" s="75"/>
      <c r="G87" s="58"/>
      <c r="H87" s="58"/>
      <c r="I87" s="62"/>
      <c r="AH87" s="39"/>
      <c r="AI87" s="38"/>
      <c r="AJ87" s="99"/>
    </row>
    <row r="88" spans="1:36" ht="18.5" x14ac:dyDescent="0.65">
      <c r="A88" s="2"/>
      <c r="B88" s="50"/>
      <c r="C88" s="70"/>
      <c r="D88" s="55"/>
      <c r="E88" s="55"/>
      <c r="F88" s="75"/>
      <c r="G88" s="58"/>
      <c r="H88" s="58"/>
      <c r="I88" s="62"/>
      <c r="AH88" s="39"/>
      <c r="AI88" s="38"/>
      <c r="AJ88" s="99"/>
    </row>
    <row r="89" spans="1:36" ht="18.5" x14ac:dyDescent="0.65">
      <c r="A89" s="2"/>
      <c r="B89" s="50"/>
      <c r="C89" s="70"/>
      <c r="D89" s="55"/>
      <c r="E89" s="55"/>
      <c r="F89" s="75"/>
      <c r="G89" s="58"/>
      <c r="H89" s="58"/>
      <c r="I89" s="62"/>
      <c r="AH89" s="39"/>
      <c r="AI89" s="38"/>
      <c r="AJ89" s="99"/>
    </row>
    <row r="90" spans="1:36" ht="18.5" x14ac:dyDescent="0.65">
      <c r="A90" s="2"/>
      <c r="B90" s="50"/>
      <c r="C90" s="70"/>
      <c r="D90" s="55"/>
      <c r="E90" s="55"/>
      <c r="F90" s="75"/>
      <c r="G90" s="58"/>
      <c r="H90" s="58"/>
      <c r="I90" s="62"/>
      <c r="AH90" s="39"/>
      <c r="AI90" s="38"/>
      <c r="AJ90" s="99"/>
    </row>
    <row r="91" spans="1:36" ht="17" x14ac:dyDescent="0.6">
      <c r="A91" s="2"/>
      <c r="B91" s="50"/>
      <c r="C91" s="70"/>
      <c r="D91" s="55"/>
      <c r="E91" s="55"/>
      <c r="F91" s="75"/>
      <c r="G91" s="58"/>
      <c r="H91" s="58"/>
      <c r="I91" s="62"/>
      <c r="AH91" s="40"/>
    </row>
    <row r="92" spans="1:36" ht="17" x14ac:dyDescent="0.6">
      <c r="A92" s="2"/>
      <c r="B92" s="50"/>
      <c r="C92" s="70"/>
      <c r="D92" s="55"/>
      <c r="E92" s="55"/>
      <c r="F92" s="75"/>
      <c r="G92" s="58"/>
      <c r="H92" s="58"/>
      <c r="I92" s="62"/>
      <c r="AH92" s="40"/>
    </row>
    <row r="93" spans="1:36" x14ac:dyDescent="0.35">
      <c r="A93" s="2"/>
      <c r="B93" s="50"/>
      <c r="C93" s="70"/>
      <c r="D93" s="55"/>
      <c r="E93" s="55"/>
      <c r="F93" s="75"/>
      <c r="G93" s="58"/>
      <c r="H93" s="58"/>
      <c r="I93" s="62"/>
    </row>
    <row r="94" spans="1:36" x14ac:dyDescent="0.35">
      <c r="A94" s="2"/>
      <c r="B94" s="50"/>
      <c r="C94" s="70"/>
      <c r="D94" s="55"/>
      <c r="E94" s="55"/>
      <c r="F94" s="75"/>
      <c r="G94" s="58"/>
      <c r="H94" s="58"/>
      <c r="I94" s="62"/>
    </row>
    <row r="95" spans="1:36" x14ac:dyDescent="0.35">
      <c r="A95" s="2"/>
      <c r="B95" s="50"/>
      <c r="C95" s="70"/>
      <c r="D95" s="55"/>
      <c r="E95" s="55"/>
      <c r="F95" s="75"/>
      <c r="G95" s="58"/>
      <c r="H95" s="58"/>
      <c r="I95" s="62"/>
    </row>
    <row r="96" spans="1:36" x14ac:dyDescent="0.35">
      <c r="A96" s="2"/>
      <c r="B96" s="50"/>
      <c r="C96" s="70"/>
      <c r="D96" s="55"/>
      <c r="E96" s="55"/>
      <c r="F96" s="75"/>
      <c r="G96" s="58"/>
      <c r="H96" s="58"/>
      <c r="I96" s="62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5A9A9-DA0B-4E74-830F-1A45B496BFBF}">
  <dimension ref="A1:AJ96"/>
  <sheetViews>
    <sheetView workbookViewId="0">
      <pane xSplit="1" topLeftCell="B1" activePane="topRight" state="frozen"/>
      <selection pane="topRight" activeCell="V20" sqref="V20"/>
    </sheetView>
  </sheetViews>
  <sheetFormatPr defaultRowHeight="14.5" x14ac:dyDescent="0.35"/>
  <cols>
    <col min="1" max="1" width="24.36328125" customWidth="1"/>
    <col min="2" max="2" width="14.6328125" style="51" customWidth="1"/>
    <col min="3" max="3" width="13.08984375" style="71" customWidth="1"/>
    <col min="4" max="5" width="13.90625" style="56" customWidth="1"/>
    <col min="6" max="6" width="13.453125" style="76" customWidth="1"/>
    <col min="7" max="7" width="14.36328125" style="15" customWidth="1"/>
    <col min="8" max="8" width="13.36328125" style="15" customWidth="1"/>
    <col min="9" max="9" width="14.36328125" style="63" customWidth="1"/>
    <col min="10" max="10" width="14.453125" style="51" customWidth="1"/>
    <col min="11" max="11" width="14.26953125" style="51" customWidth="1"/>
    <col min="12" max="12" width="14" style="26" customWidth="1"/>
    <col min="13" max="13" width="13.36328125" style="26" customWidth="1"/>
    <col min="14" max="17" width="8.81640625" bestFit="1" customWidth="1"/>
    <col min="18" max="18" width="8.81640625" style="10" customWidth="1"/>
    <col min="19" max="20" width="8.81640625" style="15" bestFit="1" customWidth="1"/>
    <col min="21" max="21" width="8.81640625" style="15" customWidth="1"/>
    <col min="22" max="22" width="8.81640625" style="15" bestFit="1" customWidth="1"/>
    <col min="23" max="23" width="8.81640625" style="10" customWidth="1"/>
    <col min="24" max="24" width="10.08984375" style="20" bestFit="1" customWidth="1"/>
    <col min="25" max="25" width="8.81640625" style="20" bestFit="1" customWidth="1"/>
    <col min="26" max="26" width="8.81640625" style="20" customWidth="1"/>
    <col min="27" max="27" width="8.81640625" style="20" bestFit="1" customWidth="1"/>
    <col min="28" max="28" width="8.81640625" style="10" customWidth="1"/>
    <col min="29" max="30" width="8.81640625" style="26" bestFit="1" customWidth="1"/>
    <col min="31" max="31" width="10.08984375" style="26" bestFit="1" customWidth="1"/>
    <col min="32" max="32" width="10.08984375" style="10" customWidth="1"/>
    <col min="33" max="33" width="10.08984375" style="31" bestFit="1" customWidth="1"/>
    <col min="34" max="35" width="8.7265625" style="31"/>
    <col min="36" max="36" width="8.7265625" style="100"/>
  </cols>
  <sheetData>
    <row r="1" spans="1:36" s="10" customFormat="1" ht="85" x14ac:dyDescent="0.35">
      <c r="A1" s="6" t="s">
        <v>1</v>
      </c>
      <c r="B1" s="47" t="s">
        <v>32</v>
      </c>
      <c r="C1" s="67" t="s">
        <v>36</v>
      </c>
      <c r="D1" s="52" t="s">
        <v>31</v>
      </c>
      <c r="E1" s="52" t="s">
        <v>30</v>
      </c>
      <c r="F1" s="72" t="s">
        <v>35</v>
      </c>
      <c r="G1" s="16" t="s">
        <v>33</v>
      </c>
      <c r="H1" s="16" t="s">
        <v>34</v>
      </c>
      <c r="I1" s="59" t="s">
        <v>27</v>
      </c>
      <c r="J1" s="64" t="s">
        <v>29</v>
      </c>
      <c r="K1" s="64" t="s">
        <v>28</v>
      </c>
      <c r="L1" s="11" t="s">
        <v>37</v>
      </c>
      <c r="M1" s="11" t="s">
        <v>38</v>
      </c>
      <c r="N1" s="6" t="s">
        <v>39</v>
      </c>
      <c r="O1" s="6" t="s">
        <v>40</v>
      </c>
      <c r="P1" s="6" t="s">
        <v>41</v>
      </c>
      <c r="Q1" s="6" t="s">
        <v>42</v>
      </c>
      <c r="R1" s="6" t="s">
        <v>23</v>
      </c>
      <c r="S1" s="16" t="s">
        <v>43</v>
      </c>
      <c r="T1" s="16" t="s">
        <v>44</v>
      </c>
      <c r="U1" s="16" t="s">
        <v>61</v>
      </c>
      <c r="V1" s="16" t="s">
        <v>45</v>
      </c>
      <c r="W1" s="7" t="s">
        <v>23</v>
      </c>
      <c r="X1" s="21" t="s">
        <v>46</v>
      </c>
      <c r="Y1" s="21" t="s">
        <v>47</v>
      </c>
      <c r="Z1" s="21" t="s">
        <v>62</v>
      </c>
      <c r="AA1" s="21" t="s">
        <v>48</v>
      </c>
      <c r="AB1" s="7" t="s">
        <v>23</v>
      </c>
      <c r="AC1" s="11" t="s">
        <v>49</v>
      </c>
      <c r="AD1" s="11" t="s">
        <v>50</v>
      </c>
      <c r="AE1" s="11" t="s">
        <v>51</v>
      </c>
      <c r="AF1" s="7" t="s">
        <v>23</v>
      </c>
      <c r="AG1" s="32" t="s">
        <v>52</v>
      </c>
      <c r="AH1" s="32" t="s">
        <v>53</v>
      </c>
      <c r="AI1" s="32" t="s">
        <v>54</v>
      </c>
      <c r="AJ1" s="94" t="s">
        <v>23</v>
      </c>
    </row>
    <row r="2" spans="1:36" ht="18.5" x14ac:dyDescent="0.65">
      <c r="A2" s="3" t="s">
        <v>18</v>
      </c>
      <c r="B2" s="48">
        <v>1228843</v>
      </c>
      <c r="C2" s="68">
        <f t="shared" ref="C2:C10" si="0">SUM(D2:E2)</f>
        <v>67600</v>
      </c>
      <c r="D2" s="53">
        <v>47113</v>
      </c>
      <c r="E2" s="53">
        <v>20487</v>
      </c>
      <c r="F2" s="73">
        <f t="shared" ref="F2:F10" si="1">SUM(G2:H2)</f>
        <v>11550</v>
      </c>
      <c r="G2" s="17">
        <v>1763</v>
      </c>
      <c r="H2" s="17">
        <v>9787</v>
      </c>
      <c r="I2" s="60">
        <f t="shared" ref="I2:I10" si="2">SUM(J2:K2)</f>
        <v>30196</v>
      </c>
      <c r="J2" s="48">
        <v>10999</v>
      </c>
      <c r="K2" s="48">
        <v>19197</v>
      </c>
      <c r="L2" s="27">
        <v>18430</v>
      </c>
      <c r="M2" s="27">
        <v>767</v>
      </c>
      <c r="N2" s="13">
        <v>15600</v>
      </c>
      <c r="O2" s="13">
        <v>2782</v>
      </c>
      <c r="P2" s="13">
        <v>48</v>
      </c>
      <c r="Q2" s="13">
        <v>767</v>
      </c>
      <c r="R2" s="88">
        <f>SUM(N2:Q2)</f>
        <v>19197</v>
      </c>
      <c r="S2" s="17">
        <v>19163</v>
      </c>
      <c r="T2" s="17">
        <v>12</v>
      </c>
      <c r="U2" s="17">
        <v>0</v>
      </c>
      <c r="V2" s="17">
        <v>22</v>
      </c>
      <c r="W2" s="88">
        <f>SUM(S2:V2)</f>
        <v>19197</v>
      </c>
      <c r="X2" s="22">
        <v>19155</v>
      </c>
      <c r="Y2" s="23">
        <v>20</v>
      </c>
      <c r="Z2" s="23">
        <v>0</v>
      </c>
      <c r="AA2" s="23">
        <v>22</v>
      </c>
      <c r="AB2" s="88">
        <f>SUM(X2:AA2)</f>
        <v>19197</v>
      </c>
      <c r="AC2" s="27">
        <v>536</v>
      </c>
      <c r="AD2" s="27">
        <v>18639</v>
      </c>
      <c r="AE2" s="28">
        <v>22</v>
      </c>
      <c r="AF2" s="87">
        <f>SUM(AC2:AE2)</f>
        <v>19197</v>
      </c>
      <c r="AG2" s="33">
        <v>18421</v>
      </c>
      <c r="AH2" s="34">
        <v>33</v>
      </c>
      <c r="AI2" s="33">
        <v>743</v>
      </c>
      <c r="AJ2" s="95">
        <f>SUM(AG2:AI2)</f>
        <v>19197</v>
      </c>
    </row>
    <row r="3" spans="1:36" ht="18.5" x14ac:dyDescent="0.65">
      <c r="A3" s="3" t="s">
        <v>6</v>
      </c>
      <c r="B3" s="48">
        <v>715429</v>
      </c>
      <c r="C3" s="68">
        <f t="shared" si="0"/>
        <v>23912</v>
      </c>
      <c r="D3" s="53">
        <v>22078</v>
      </c>
      <c r="E3" s="53">
        <v>1834</v>
      </c>
      <c r="F3" s="73">
        <f t="shared" si="1"/>
        <v>30038</v>
      </c>
      <c r="G3" s="17">
        <v>14172</v>
      </c>
      <c r="H3" s="17">
        <v>15866</v>
      </c>
      <c r="I3" s="60">
        <f t="shared" si="2"/>
        <v>20077</v>
      </c>
      <c r="J3" s="65">
        <v>9409</v>
      </c>
      <c r="K3" s="65">
        <v>10668</v>
      </c>
      <c r="L3" s="28">
        <v>10451</v>
      </c>
      <c r="M3" s="28">
        <v>217</v>
      </c>
      <c r="N3" s="14">
        <v>7206</v>
      </c>
      <c r="O3" s="14">
        <v>3168</v>
      </c>
      <c r="P3" s="14">
        <v>77</v>
      </c>
      <c r="Q3" s="14">
        <v>217</v>
      </c>
      <c r="R3" s="87">
        <f>SUM(N3:Q3)</f>
        <v>10668</v>
      </c>
      <c r="S3" s="18">
        <v>10643</v>
      </c>
      <c r="T3" s="18">
        <v>15</v>
      </c>
      <c r="U3" s="18">
        <v>0</v>
      </c>
      <c r="V3" s="18">
        <v>10</v>
      </c>
      <c r="W3" s="88">
        <f>SUM(S3:V3)</f>
        <v>10668</v>
      </c>
      <c r="X3" s="22">
        <v>10650</v>
      </c>
      <c r="Y3" s="22">
        <v>8</v>
      </c>
      <c r="Z3" s="22">
        <v>0</v>
      </c>
      <c r="AA3" s="22">
        <v>10</v>
      </c>
      <c r="AB3" s="87">
        <f>SUM(X3:AA3)</f>
        <v>10668</v>
      </c>
      <c r="AC3" s="28">
        <v>8919</v>
      </c>
      <c r="AD3" s="28">
        <v>1739</v>
      </c>
      <c r="AE3" s="28">
        <v>10</v>
      </c>
      <c r="AF3" s="87">
        <f>SUM(AC3:AE3)</f>
        <v>10668</v>
      </c>
      <c r="AG3" s="33">
        <v>9950</v>
      </c>
      <c r="AH3" s="33">
        <v>30</v>
      </c>
      <c r="AI3" s="33">
        <v>688</v>
      </c>
      <c r="AJ3" s="95">
        <f>SUM(AG3:AI3)</f>
        <v>10668</v>
      </c>
    </row>
    <row r="4" spans="1:36" ht="34" x14ac:dyDescent="0.35">
      <c r="A4" s="4" t="s">
        <v>9</v>
      </c>
      <c r="B4" s="48">
        <v>24492</v>
      </c>
      <c r="C4" s="68">
        <f t="shared" si="0"/>
        <v>1590</v>
      </c>
      <c r="D4" s="53">
        <v>562</v>
      </c>
      <c r="E4" s="53">
        <v>1028</v>
      </c>
      <c r="F4" s="73">
        <f t="shared" si="1"/>
        <v>2334</v>
      </c>
      <c r="G4" s="17">
        <v>163</v>
      </c>
      <c r="H4" s="17">
        <v>2171</v>
      </c>
      <c r="I4" s="60">
        <f t="shared" si="2"/>
        <v>1364</v>
      </c>
      <c r="J4" s="48">
        <v>814</v>
      </c>
      <c r="K4" s="48">
        <v>550</v>
      </c>
      <c r="L4" s="27">
        <v>504</v>
      </c>
      <c r="M4" s="27">
        <v>46</v>
      </c>
      <c r="N4" s="13">
        <v>367</v>
      </c>
      <c r="O4" s="13">
        <v>125</v>
      </c>
      <c r="P4" s="13">
        <v>12</v>
      </c>
      <c r="Q4" s="13">
        <v>46</v>
      </c>
      <c r="R4" s="88">
        <f>SUM(N4:Q4)</f>
        <v>550</v>
      </c>
      <c r="S4" s="17">
        <v>545</v>
      </c>
      <c r="T4" s="17">
        <v>3</v>
      </c>
      <c r="U4" s="17">
        <v>0</v>
      </c>
      <c r="V4" s="17">
        <v>2</v>
      </c>
      <c r="W4" s="88">
        <f t="shared" ref="W4:W10" si="3">SUM(S4:V4)</f>
        <v>550</v>
      </c>
      <c r="X4" s="23">
        <v>545</v>
      </c>
      <c r="Y4" s="23">
        <v>3</v>
      </c>
      <c r="Z4" s="23">
        <v>0</v>
      </c>
      <c r="AA4" s="23">
        <v>2</v>
      </c>
      <c r="AB4" s="88">
        <f t="shared" ref="AB4:AB10" si="4">SUM(X4:AA4)</f>
        <v>550</v>
      </c>
      <c r="AC4" s="27">
        <v>489</v>
      </c>
      <c r="AD4" s="27">
        <v>59</v>
      </c>
      <c r="AE4" s="27">
        <v>2</v>
      </c>
      <c r="AF4" s="88">
        <f t="shared" ref="AF4:AF10" si="5">SUM(AC4:AE4)</f>
        <v>550</v>
      </c>
      <c r="AG4" s="35">
        <v>311</v>
      </c>
      <c r="AH4" s="35">
        <v>7</v>
      </c>
      <c r="AI4" s="35">
        <v>232</v>
      </c>
      <c r="AJ4" s="101">
        <f t="shared" ref="AJ4:AJ10" si="6">SUM(AG4:AI4)</f>
        <v>550</v>
      </c>
    </row>
    <row r="5" spans="1:36" ht="18.5" x14ac:dyDescent="0.35">
      <c r="A5" s="3" t="s">
        <v>11</v>
      </c>
      <c r="B5" s="48">
        <v>53603</v>
      </c>
      <c r="C5" s="68">
        <f t="shared" si="0"/>
        <v>2103</v>
      </c>
      <c r="D5" s="53">
        <v>1857</v>
      </c>
      <c r="E5" s="53">
        <v>246</v>
      </c>
      <c r="F5" s="73">
        <f t="shared" si="1"/>
        <v>2944</v>
      </c>
      <c r="G5" s="17">
        <v>315</v>
      </c>
      <c r="H5" s="17">
        <v>2629</v>
      </c>
      <c r="I5" s="60">
        <f t="shared" si="2"/>
        <v>727</v>
      </c>
      <c r="J5" s="48">
        <v>306</v>
      </c>
      <c r="K5" s="48">
        <v>421</v>
      </c>
      <c r="L5" s="27">
        <v>413</v>
      </c>
      <c r="M5" s="27">
        <v>8</v>
      </c>
      <c r="N5" s="13">
        <v>351</v>
      </c>
      <c r="O5" s="13">
        <v>59</v>
      </c>
      <c r="P5" s="13">
        <v>3</v>
      </c>
      <c r="Q5" s="13">
        <v>8</v>
      </c>
      <c r="R5" s="88">
        <f>SUM(N5:Q5)</f>
        <v>421</v>
      </c>
      <c r="S5" s="17">
        <v>420</v>
      </c>
      <c r="T5" s="17">
        <v>0</v>
      </c>
      <c r="U5" s="17">
        <v>0</v>
      </c>
      <c r="V5" s="17">
        <v>1</v>
      </c>
      <c r="W5" s="88">
        <f t="shared" si="3"/>
        <v>421</v>
      </c>
      <c r="X5" s="23">
        <v>420</v>
      </c>
      <c r="Y5" s="23">
        <v>0</v>
      </c>
      <c r="Z5" s="23">
        <v>0</v>
      </c>
      <c r="AA5" s="23">
        <v>1</v>
      </c>
      <c r="AB5" s="87">
        <f t="shared" si="4"/>
        <v>421</v>
      </c>
      <c r="AC5" s="27">
        <v>97</v>
      </c>
      <c r="AD5" s="27">
        <v>323</v>
      </c>
      <c r="AE5" s="27">
        <v>1</v>
      </c>
      <c r="AF5" s="87">
        <f t="shared" si="5"/>
        <v>421</v>
      </c>
      <c r="AG5" s="35">
        <v>409</v>
      </c>
      <c r="AH5" s="34">
        <v>1</v>
      </c>
      <c r="AI5" s="35">
        <v>11</v>
      </c>
      <c r="AJ5" s="95">
        <f t="shared" si="6"/>
        <v>421</v>
      </c>
    </row>
    <row r="6" spans="1:36" ht="18.5" x14ac:dyDescent="0.35">
      <c r="A6" s="3" t="s">
        <v>21</v>
      </c>
      <c r="B6" s="48">
        <v>5564</v>
      </c>
      <c r="C6" s="68">
        <f t="shared" si="0"/>
        <v>277</v>
      </c>
      <c r="D6" s="53">
        <v>124</v>
      </c>
      <c r="E6" s="53">
        <v>153</v>
      </c>
      <c r="F6" s="73">
        <f t="shared" si="1"/>
        <v>158</v>
      </c>
      <c r="G6" s="17">
        <v>39</v>
      </c>
      <c r="H6" s="17">
        <v>119</v>
      </c>
      <c r="I6" s="60">
        <f t="shared" si="2"/>
        <v>228</v>
      </c>
      <c r="J6" s="48">
        <v>155</v>
      </c>
      <c r="K6" s="48">
        <v>73</v>
      </c>
      <c r="L6" s="27">
        <v>68</v>
      </c>
      <c r="M6" s="27">
        <v>5</v>
      </c>
      <c r="N6" s="13">
        <v>58</v>
      </c>
      <c r="O6" s="13">
        <v>9</v>
      </c>
      <c r="P6" s="13">
        <v>1</v>
      </c>
      <c r="Q6" s="13">
        <v>5</v>
      </c>
      <c r="R6" s="88">
        <f>SUM(N6:Q6)</f>
        <v>73</v>
      </c>
      <c r="S6" s="17">
        <v>73</v>
      </c>
      <c r="T6" s="17">
        <v>0</v>
      </c>
      <c r="U6" s="17">
        <v>0</v>
      </c>
      <c r="V6" s="17">
        <v>0</v>
      </c>
      <c r="W6" s="88">
        <f t="shared" si="3"/>
        <v>73</v>
      </c>
      <c r="X6" s="23">
        <v>72</v>
      </c>
      <c r="Y6" s="23">
        <v>1</v>
      </c>
      <c r="Z6" s="23">
        <v>0</v>
      </c>
      <c r="AA6" s="23">
        <v>0</v>
      </c>
      <c r="AB6" s="87">
        <f t="shared" si="4"/>
        <v>73</v>
      </c>
      <c r="AC6" s="27">
        <v>1</v>
      </c>
      <c r="AD6" s="27">
        <v>72</v>
      </c>
      <c r="AE6" s="27">
        <v>0</v>
      </c>
      <c r="AF6" s="87">
        <f t="shared" si="5"/>
        <v>73</v>
      </c>
      <c r="AG6" s="35">
        <v>68</v>
      </c>
      <c r="AH6" s="34">
        <v>1</v>
      </c>
      <c r="AI6" s="35">
        <v>4</v>
      </c>
      <c r="AJ6" s="95">
        <f t="shared" si="6"/>
        <v>73</v>
      </c>
    </row>
    <row r="7" spans="1:36" ht="18.5" x14ac:dyDescent="0.35">
      <c r="A7" s="3" t="s">
        <v>15</v>
      </c>
      <c r="B7" s="48">
        <v>1125</v>
      </c>
      <c r="C7" s="68">
        <f t="shared" si="0"/>
        <v>48</v>
      </c>
      <c r="D7" s="53">
        <v>39</v>
      </c>
      <c r="E7" s="53">
        <v>9</v>
      </c>
      <c r="F7" s="73">
        <f t="shared" si="1"/>
        <v>158</v>
      </c>
      <c r="G7" s="17">
        <v>14</v>
      </c>
      <c r="H7" s="17">
        <v>144</v>
      </c>
      <c r="I7" s="60">
        <f t="shared" si="2"/>
        <v>50</v>
      </c>
      <c r="J7" s="48">
        <v>34</v>
      </c>
      <c r="K7" s="48">
        <v>16</v>
      </c>
      <c r="L7" s="27">
        <v>16</v>
      </c>
      <c r="M7" s="27">
        <v>0</v>
      </c>
      <c r="N7" s="13">
        <v>11</v>
      </c>
      <c r="O7" s="13">
        <v>5</v>
      </c>
      <c r="P7" s="13">
        <v>0</v>
      </c>
      <c r="Q7" s="13">
        <v>0</v>
      </c>
      <c r="R7" s="88">
        <f>SUM(N7:Q7)</f>
        <v>16</v>
      </c>
      <c r="S7" s="17">
        <v>16</v>
      </c>
      <c r="T7" s="17">
        <v>0</v>
      </c>
      <c r="U7" s="17">
        <v>0</v>
      </c>
      <c r="V7" s="17">
        <v>0</v>
      </c>
      <c r="W7" s="88">
        <f t="shared" si="3"/>
        <v>16</v>
      </c>
      <c r="X7" s="23">
        <v>16</v>
      </c>
      <c r="Y7" s="23">
        <v>0</v>
      </c>
      <c r="Z7" s="23">
        <v>0</v>
      </c>
      <c r="AA7" s="23">
        <v>0</v>
      </c>
      <c r="AB7" s="87">
        <f t="shared" si="4"/>
        <v>16</v>
      </c>
      <c r="AC7" s="27">
        <v>16</v>
      </c>
      <c r="AD7" s="27">
        <v>0</v>
      </c>
      <c r="AE7" s="27">
        <v>0</v>
      </c>
      <c r="AF7" s="87">
        <f>SUM(AC7:AE7)</f>
        <v>16</v>
      </c>
      <c r="AG7" s="35">
        <v>11</v>
      </c>
      <c r="AH7" s="34">
        <v>0</v>
      </c>
      <c r="AI7" s="35">
        <v>5</v>
      </c>
      <c r="AJ7" s="95">
        <f t="shared" si="6"/>
        <v>16</v>
      </c>
    </row>
    <row r="8" spans="1:36" ht="18.5" x14ac:dyDescent="0.35">
      <c r="A8" s="3" t="s">
        <v>24</v>
      </c>
      <c r="B8" s="48">
        <v>272</v>
      </c>
      <c r="C8" s="68">
        <f t="shared" si="0"/>
        <v>11</v>
      </c>
      <c r="D8" s="53">
        <v>10</v>
      </c>
      <c r="E8" s="53">
        <v>1</v>
      </c>
      <c r="F8" s="73">
        <f t="shared" si="1"/>
        <v>28</v>
      </c>
      <c r="G8" s="17">
        <v>3</v>
      </c>
      <c r="H8" s="17">
        <v>25</v>
      </c>
      <c r="I8" s="60">
        <f t="shared" si="2"/>
        <v>42</v>
      </c>
      <c r="J8" s="48">
        <v>34</v>
      </c>
      <c r="K8" s="48">
        <v>8</v>
      </c>
      <c r="L8" s="27">
        <v>6</v>
      </c>
      <c r="M8" s="27">
        <v>2</v>
      </c>
      <c r="N8" s="13">
        <v>2</v>
      </c>
      <c r="O8" s="13">
        <v>4</v>
      </c>
      <c r="P8" s="13">
        <v>0</v>
      </c>
      <c r="Q8" s="13">
        <v>2</v>
      </c>
      <c r="R8" s="88">
        <f t="shared" ref="R8:R10" si="7">SUM(N8:Q8)</f>
        <v>8</v>
      </c>
      <c r="S8" s="17">
        <v>8</v>
      </c>
      <c r="T8" s="17">
        <v>0</v>
      </c>
      <c r="U8" s="17">
        <v>0</v>
      </c>
      <c r="V8" s="17">
        <v>0</v>
      </c>
      <c r="W8" s="88">
        <f t="shared" si="3"/>
        <v>8</v>
      </c>
      <c r="X8" s="23">
        <v>8</v>
      </c>
      <c r="Y8" s="23">
        <v>0</v>
      </c>
      <c r="Z8" s="23">
        <v>0</v>
      </c>
      <c r="AA8" s="23">
        <v>0</v>
      </c>
      <c r="AB8" s="87">
        <f t="shared" si="4"/>
        <v>8</v>
      </c>
      <c r="AC8" s="27">
        <v>5</v>
      </c>
      <c r="AD8" s="27">
        <v>3</v>
      </c>
      <c r="AE8" s="27">
        <v>0</v>
      </c>
      <c r="AF8" s="87">
        <f t="shared" si="5"/>
        <v>8</v>
      </c>
      <c r="AG8" s="35">
        <v>2</v>
      </c>
      <c r="AH8" s="34">
        <v>0</v>
      </c>
      <c r="AI8" s="35">
        <v>6</v>
      </c>
      <c r="AJ8" s="95">
        <f t="shared" si="6"/>
        <v>8</v>
      </c>
    </row>
    <row r="9" spans="1:36" ht="18.5" x14ac:dyDescent="0.35">
      <c r="A9" s="3" t="s">
        <v>25</v>
      </c>
      <c r="B9" s="48">
        <v>10478</v>
      </c>
      <c r="C9" s="68">
        <f t="shared" si="0"/>
        <v>451</v>
      </c>
      <c r="D9" s="53">
        <v>373</v>
      </c>
      <c r="E9" s="53">
        <v>78</v>
      </c>
      <c r="F9" s="73">
        <f t="shared" si="1"/>
        <v>185</v>
      </c>
      <c r="G9" s="17">
        <v>20</v>
      </c>
      <c r="H9" s="17">
        <v>165</v>
      </c>
      <c r="I9" s="60">
        <f t="shared" si="2"/>
        <v>65</v>
      </c>
      <c r="J9" s="48">
        <v>49</v>
      </c>
      <c r="K9" s="48">
        <v>16</v>
      </c>
      <c r="L9" s="27">
        <v>14</v>
      </c>
      <c r="M9" s="27">
        <v>2</v>
      </c>
      <c r="N9" s="13">
        <v>9</v>
      </c>
      <c r="O9" s="13">
        <v>5</v>
      </c>
      <c r="P9" s="13">
        <v>0</v>
      </c>
      <c r="Q9" s="13">
        <v>2</v>
      </c>
      <c r="R9" s="88">
        <f t="shared" si="7"/>
        <v>16</v>
      </c>
      <c r="S9" s="17">
        <v>16</v>
      </c>
      <c r="T9" s="17">
        <v>0</v>
      </c>
      <c r="U9" s="17">
        <v>0</v>
      </c>
      <c r="V9" s="17">
        <v>0</v>
      </c>
      <c r="W9" s="88">
        <f t="shared" si="3"/>
        <v>16</v>
      </c>
      <c r="X9" s="23">
        <v>16</v>
      </c>
      <c r="Y9" s="23">
        <v>0</v>
      </c>
      <c r="Z9" s="23">
        <v>0</v>
      </c>
      <c r="AA9" s="23">
        <v>0</v>
      </c>
      <c r="AB9" s="87">
        <f t="shared" si="4"/>
        <v>16</v>
      </c>
      <c r="AC9" s="27">
        <v>9</v>
      </c>
      <c r="AD9" s="27">
        <v>7</v>
      </c>
      <c r="AE9" s="27">
        <v>0</v>
      </c>
      <c r="AF9" s="87">
        <f t="shared" si="5"/>
        <v>16</v>
      </c>
      <c r="AG9" s="35">
        <v>13</v>
      </c>
      <c r="AH9" s="34">
        <v>0</v>
      </c>
      <c r="AI9" s="35">
        <v>3</v>
      </c>
      <c r="AJ9" s="95">
        <f t="shared" si="6"/>
        <v>16</v>
      </c>
    </row>
    <row r="10" spans="1:36" ht="18.5" x14ac:dyDescent="0.35">
      <c r="A10" s="3" t="s">
        <v>26</v>
      </c>
      <c r="B10" s="48">
        <v>682</v>
      </c>
      <c r="C10" s="68">
        <f t="shared" si="0"/>
        <v>65</v>
      </c>
      <c r="D10" s="53">
        <v>13</v>
      </c>
      <c r="E10" s="53">
        <v>52</v>
      </c>
      <c r="F10" s="73">
        <f t="shared" si="1"/>
        <v>18</v>
      </c>
      <c r="G10" s="17">
        <v>1</v>
      </c>
      <c r="H10" s="17">
        <v>17</v>
      </c>
      <c r="I10" s="60">
        <f t="shared" si="2"/>
        <v>2</v>
      </c>
      <c r="J10" s="48">
        <v>1</v>
      </c>
      <c r="K10" s="48">
        <v>1</v>
      </c>
      <c r="L10" s="27">
        <v>1</v>
      </c>
      <c r="M10" s="27">
        <v>0</v>
      </c>
      <c r="N10" s="13">
        <v>1</v>
      </c>
      <c r="O10" s="13">
        <v>0</v>
      </c>
      <c r="P10" s="13">
        <v>0</v>
      </c>
      <c r="Q10" s="13">
        <v>0</v>
      </c>
      <c r="R10" s="88">
        <f t="shared" si="7"/>
        <v>1</v>
      </c>
      <c r="S10" s="17">
        <v>1</v>
      </c>
      <c r="T10" s="17">
        <v>0</v>
      </c>
      <c r="U10" s="17">
        <v>0</v>
      </c>
      <c r="V10" s="17">
        <v>0</v>
      </c>
      <c r="W10" s="88">
        <f t="shared" si="3"/>
        <v>1</v>
      </c>
      <c r="X10" s="23">
        <v>1</v>
      </c>
      <c r="Y10" s="23">
        <v>0</v>
      </c>
      <c r="Z10" s="23">
        <v>0</v>
      </c>
      <c r="AA10" s="23">
        <v>0</v>
      </c>
      <c r="AB10" s="87">
        <f t="shared" si="4"/>
        <v>1</v>
      </c>
      <c r="AC10" s="27">
        <v>1</v>
      </c>
      <c r="AD10" s="27">
        <v>0</v>
      </c>
      <c r="AE10" s="27">
        <v>0</v>
      </c>
      <c r="AF10" s="87">
        <f t="shared" si="5"/>
        <v>1</v>
      </c>
      <c r="AG10" s="35">
        <v>1</v>
      </c>
      <c r="AH10" s="34">
        <v>0</v>
      </c>
      <c r="AI10" s="35">
        <v>0</v>
      </c>
      <c r="AJ10" s="95">
        <f t="shared" si="6"/>
        <v>1</v>
      </c>
    </row>
    <row r="11" spans="1:36" s="45" customFormat="1" ht="18.5" x14ac:dyDescent="0.35">
      <c r="A11" s="41" t="s">
        <v>23</v>
      </c>
      <c r="B11" s="42">
        <f t="shared" ref="B11:AI11" si="8">SUM(B2:B10)</f>
        <v>2040488</v>
      </c>
      <c r="C11" s="42">
        <f t="shared" si="8"/>
        <v>96057</v>
      </c>
      <c r="D11" s="42">
        <f t="shared" si="8"/>
        <v>72169</v>
      </c>
      <c r="E11" s="42">
        <f t="shared" si="8"/>
        <v>23888</v>
      </c>
      <c r="F11" s="42">
        <f t="shared" si="8"/>
        <v>47413</v>
      </c>
      <c r="G11" s="42">
        <f t="shared" si="8"/>
        <v>16490</v>
      </c>
      <c r="H11" s="42">
        <f t="shared" si="8"/>
        <v>30923</v>
      </c>
      <c r="I11" s="42">
        <f t="shared" si="8"/>
        <v>52751</v>
      </c>
      <c r="J11" s="42">
        <f t="shared" si="8"/>
        <v>21801</v>
      </c>
      <c r="K11" s="42">
        <f t="shared" si="8"/>
        <v>30950</v>
      </c>
      <c r="L11" s="42">
        <f t="shared" si="8"/>
        <v>29903</v>
      </c>
      <c r="M11" s="42">
        <f t="shared" si="8"/>
        <v>1047</v>
      </c>
      <c r="N11" s="42">
        <f t="shared" si="8"/>
        <v>23605</v>
      </c>
      <c r="O11" s="42">
        <f t="shared" si="8"/>
        <v>6157</v>
      </c>
      <c r="P11" s="42">
        <f t="shared" si="8"/>
        <v>141</v>
      </c>
      <c r="Q11" s="42">
        <f t="shared" si="8"/>
        <v>1047</v>
      </c>
      <c r="R11" s="89">
        <f>SUM(R2:R10)</f>
        <v>30950</v>
      </c>
      <c r="S11" s="42">
        <f t="shared" si="8"/>
        <v>30885</v>
      </c>
      <c r="T11" s="42">
        <f t="shared" si="8"/>
        <v>30</v>
      </c>
      <c r="U11" s="42">
        <f>SUM(U2:U10)</f>
        <v>0</v>
      </c>
      <c r="V11" s="42">
        <f t="shared" si="8"/>
        <v>35</v>
      </c>
      <c r="W11" s="89">
        <f>SUM(W2:W10)</f>
        <v>30950</v>
      </c>
      <c r="X11" s="42">
        <f t="shared" si="8"/>
        <v>30883</v>
      </c>
      <c r="Y11" s="42">
        <f t="shared" si="8"/>
        <v>32</v>
      </c>
      <c r="Z11" s="42">
        <f>SUM(Z2:Z10)</f>
        <v>0</v>
      </c>
      <c r="AA11" s="42">
        <f t="shared" si="8"/>
        <v>35</v>
      </c>
      <c r="AB11" s="89">
        <f>SUM(AB2:AB10)</f>
        <v>30950</v>
      </c>
      <c r="AC11" s="42">
        <f t="shared" si="8"/>
        <v>10073</v>
      </c>
      <c r="AD11" s="42">
        <f t="shared" si="8"/>
        <v>20842</v>
      </c>
      <c r="AE11" s="42">
        <f t="shared" si="8"/>
        <v>35</v>
      </c>
      <c r="AF11" s="89">
        <f>SUM(AF2:AF10)</f>
        <v>30950</v>
      </c>
      <c r="AG11" s="43">
        <f t="shared" si="8"/>
        <v>29186</v>
      </c>
      <c r="AH11" s="44">
        <f t="shared" si="8"/>
        <v>72</v>
      </c>
      <c r="AI11" s="43">
        <f t="shared" si="8"/>
        <v>1692</v>
      </c>
      <c r="AJ11" s="96">
        <f>SUM(AJ2:AJ10)</f>
        <v>30950</v>
      </c>
    </row>
    <row r="12" spans="1:36" ht="18.5" x14ac:dyDescent="0.65">
      <c r="A12" s="3"/>
      <c r="B12" s="48"/>
      <c r="C12" s="68"/>
      <c r="D12" s="53"/>
      <c r="E12" s="53"/>
      <c r="F12" s="73"/>
      <c r="G12" s="17"/>
      <c r="H12" s="17"/>
      <c r="I12" s="60"/>
      <c r="J12" s="65"/>
      <c r="K12" s="65"/>
      <c r="L12" s="28"/>
      <c r="M12" s="28"/>
      <c r="N12" s="14"/>
      <c r="O12" s="14"/>
      <c r="P12" s="14"/>
      <c r="Q12" s="14"/>
      <c r="R12" s="81"/>
      <c r="S12" s="18"/>
      <c r="T12" s="18"/>
      <c r="U12" s="18"/>
      <c r="V12" s="18"/>
      <c r="W12" s="81"/>
      <c r="X12" s="22"/>
      <c r="Y12" s="22"/>
      <c r="Z12" s="22"/>
      <c r="AA12" s="23"/>
      <c r="AB12" s="80"/>
      <c r="AC12" s="27"/>
      <c r="AD12" s="27"/>
      <c r="AE12" s="27"/>
      <c r="AF12" s="80"/>
      <c r="AG12" s="35"/>
      <c r="AH12" s="34"/>
      <c r="AI12" s="35"/>
      <c r="AJ12" s="97"/>
    </row>
    <row r="13" spans="1:36" ht="85" x14ac:dyDescent="0.35">
      <c r="A13" s="6" t="s">
        <v>55</v>
      </c>
      <c r="B13" s="47" t="s">
        <v>32</v>
      </c>
      <c r="C13" s="67" t="s">
        <v>36</v>
      </c>
      <c r="D13" s="52" t="s">
        <v>31</v>
      </c>
      <c r="E13" s="52" t="s">
        <v>30</v>
      </c>
      <c r="F13" s="72" t="s">
        <v>35</v>
      </c>
      <c r="G13" s="16" t="s">
        <v>33</v>
      </c>
      <c r="H13" s="16" t="s">
        <v>34</v>
      </c>
      <c r="I13" s="59" t="s">
        <v>27</v>
      </c>
      <c r="J13" s="64" t="s">
        <v>29</v>
      </c>
      <c r="K13" s="64" t="s">
        <v>28</v>
      </c>
      <c r="L13" s="11" t="s">
        <v>37</v>
      </c>
      <c r="M13" s="11" t="s">
        <v>38</v>
      </c>
      <c r="N13" s="6" t="s">
        <v>39</v>
      </c>
      <c r="O13" s="6" t="s">
        <v>40</v>
      </c>
      <c r="P13" s="6" t="s">
        <v>41</v>
      </c>
      <c r="Q13" s="6" t="s">
        <v>42</v>
      </c>
      <c r="R13" s="6" t="s">
        <v>23</v>
      </c>
      <c r="S13" s="16" t="s">
        <v>43</v>
      </c>
      <c r="T13" s="16" t="s">
        <v>44</v>
      </c>
      <c r="U13" s="16" t="s">
        <v>61</v>
      </c>
      <c r="V13" s="16" t="s">
        <v>45</v>
      </c>
      <c r="W13" s="7" t="s">
        <v>23</v>
      </c>
      <c r="X13" s="21" t="s">
        <v>46</v>
      </c>
      <c r="Y13" s="21" t="s">
        <v>47</v>
      </c>
      <c r="Z13" s="21" t="s">
        <v>62</v>
      </c>
      <c r="AA13" s="21" t="s">
        <v>48</v>
      </c>
      <c r="AB13" s="7" t="s">
        <v>23</v>
      </c>
      <c r="AC13" s="11" t="s">
        <v>49</v>
      </c>
      <c r="AD13" s="11" t="s">
        <v>50</v>
      </c>
      <c r="AE13" s="11" t="s">
        <v>51</v>
      </c>
      <c r="AF13" s="7" t="s">
        <v>23</v>
      </c>
      <c r="AG13" s="32" t="s">
        <v>52</v>
      </c>
      <c r="AH13" s="32" t="s">
        <v>53</v>
      </c>
      <c r="AI13" s="32" t="s">
        <v>54</v>
      </c>
      <c r="AJ13" s="94" t="s">
        <v>23</v>
      </c>
    </row>
    <row r="14" spans="1:36" ht="18.5" x14ac:dyDescent="0.65">
      <c r="A14" s="4" t="s">
        <v>56</v>
      </c>
      <c r="B14" s="48">
        <v>660412</v>
      </c>
      <c r="C14" s="79">
        <f>SUM(D14:E14)</f>
        <v>29491</v>
      </c>
      <c r="D14" s="53">
        <v>22113</v>
      </c>
      <c r="E14" s="53">
        <v>7378</v>
      </c>
      <c r="F14" s="73">
        <f>SUM(G14:H14)</f>
        <v>14938</v>
      </c>
      <c r="G14" s="17">
        <v>2802</v>
      </c>
      <c r="H14" s="17">
        <v>12136</v>
      </c>
      <c r="I14" s="60">
        <f>SUM(J14:K14)</f>
        <v>12792</v>
      </c>
      <c r="J14" s="65">
        <v>5106</v>
      </c>
      <c r="K14" s="65">
        <v>7686</v>
      </c>
      <c r="L14" s="28">
        <v>7428</v>
      </c>
      <c r="M14" s="28">
        <v>258</v>
      </c>
      <c r="N14" s="14">
        <v>5871</v>
      </c>
      <c r="O14" s="14">
        <v>1511</v>
      </c>
      <c r="P14" s="14">
        <v>46</v>
      </c>
      <c r="Q14" s="14">
        <v>258</v>
      </c>
      <c r="R14" s="87">
        <f>SUM(N14:Q14)</f>
        <v>7686</v>
      </c>
      <c r="S14" s="18">
        <v>7671</v>
      </c>
      <c r="T14" s="18">
        <v>7</v>
      </c>
      <c r="U14" s="18">
        <v>0</v>
      </c>
      <c r="V14" s="18">
        <v>8</v>
      </c>
      <c r="W14" s="87">
        <f>SUM(S14:V14)</f>
        <v>7686</v>
      </c>
      <c r="X14" s="22">
        <v>7671</v>
      </c>
      <c r="Y14" s="22">
        <v>7</v>
      </c>
      <c r="Z14" s="22">
        <v>0</v>
      </c>
      <c r="AA14" s="23">
        <v>8</v>
      </c>
      <c r="AB14" s="88">
        <f>SUM(X14:AA14)</f>
        <v>7686</v>
      </c>
      <c r="AC14" s="27">
        <v>2363</v>
      </c>
      <c r="AD14" s="27">
        <v>5315</v>
      </c>
      <c r="AE14" s="27">
        <v>8</v>
      </c>
      <c r="AF14" s="88">
        <f>SUM(AC14:AE14)</f>
        <v>7686</v>
      </c>
      <c r="AG14" s="35">
        <v>7230</v>
      </c>
      <c r="AH14" s="34">
        <v>17</v>
      </c>
      <c r="AI14" s="35">
        <v>439</v>
      </c>
      <c r="AJ14" s="101">
        <f>SUM(AG14:AI14)</f>
        <v>7686</v>
      </c>
    </row>
    <row r="15" spans="1:36" ht="18.5" x14ac:dyDescent="0.65">
      <c r="A15" s="3" t="s">
        <v>57</v>
      </c>
      <c r="B15" s="48">
        <v>662652</v>
      </c>
      <c r="C15" s="68">
        <f>SUM(D15:E15)</f>
        <v>31301</v>
      </c>
      <c r="D15" s="53">
        <v>23638</v>
      </c>
      <c r="E15" s="53">
        <v>7663</v>
      </c>
      <c r="F15" s="73">
        <f>SUM(G15:H15)</f>
        <v>15503</v>
      </c>
      <c r="G15" s="17">
        <v>6968</v>
      </c>
      <c r="H15" s="17">
        <v>8535</v>
      </c>
      <c r="I15" s="60">
        <f>SUM(J15:K15)</f>
        <v>21811</v>
      </c>
      <c r="J15" s="65">
        <v>9696</v>
      </c>
      <c r="K15" s="65">
        <v>12115</v>
      </c>
      <c r="L15" s="28">
        <v>11663</v>
      </c>
      <c r="M15" s="28">
        <v>452</v>
      </c>
      <c r="N15" s="14">
        <v>9423</v>
      </c>
      <c r="O15" s="14">
        <v>2192</v>
      </c>
      <c r="P15" s="14">
        <v>48</v>
      </c>
      <c r="Q15" s="14">
        <v>452</v>
      </c>
      <c r="R15" s="87">
        <f t="shared" ref="R15:R18" si="9">SUM(N15:Q15)</f>
        <v>12115</v>
      </c>
      <c r="S15" s="18">
        <v>12081</v>
      </c>
      <c r="T15" s="18">
        <v>18</v>
      </c>
      <c r="U15" s="18">
        <v>0</v>
      </c>
      <c r="V15" s="18">
        <v>16</v>
      </c>
      <c r="W15" s="87">
        <f t="shared" ref="W15:W18" si="10">SUM(S15:V15)</f>
        <v>12115</v>
      </c>
      <c r="X15" s="22">
        <v>12082</v>
      </c>
      <c r="Y15" s="22">
        <v>17</v>
      </c>
      <c r="Z15" s="22">
        <v>0</v>
      </c>
      <c r="AA15" s="23">
        <v>16</v>
      </c>
      <c r="AB15" s="88">
        <f t="shared" ref="AB15:AB18" si="11">SUM(X15:AA15)</f>
        <v>12115</v>
      </c>
      <c r="AC15" s="27">
        <v>3868</v>
      </c>
      <c r="AD15" s="27">
        <v>8231</v>
      </c>
      <c r="AE15" s="27">
        <v>16</v>
      </c>
      <c r="AF15" s="88">
        <f t="shared" ref="AF15:AF18" si="12">SUM(AC15:AE15)</f>
        <v>12115</v>
      </c>
      <c r="AG15" s="35">
        <v>11527</v>
      </c>
      <c r="AH15" s="34">
        <v>31</v>
      </c>
      <c r="AI15" s="35">
        <v>557</v>
      </c>
      <c r="AJ15" s="101">
        <f t="shared" ref="AJ15:AJ18" si="13">SUM(AG15:AI15)</f>
        <v>12115</v>
      </c>
    </row>
    <row r="16" spans="1:36" ht="18.5" x14ac:dyDescent="0.65">
      <c r="A16" s="3" t="s">
        <v>58</v>
      </c>
      <c r="B16" s="48">
        <v>374518</v>
      </c>
      <c r="C16" s="68">
        <f>SUM(D16:E16)</f>
        <v>16889</v>
      </c>
      <c r="D16" s="53">
        <v>12373</v>
      </c>
      <c r="E16" s="53">
        <v>4516</v>
      </c>
      <c r="F16" s="73">
        <f>SUM(G16:H16)</f>
        <v>7590</v>
      </c>
      <c r="G16" s="17">
        <v>3091</v>
      </c>
      <c r="H16" s="17">
        <v>4499</v>
      </c>
      <c r="I16" s="60">
        <f>SUM(J16:K16)</f>
        <v>7393</v>
      </c>
      <c r="J16" s="65">
        <v>2871</v>
      </c>
      <c r="K16" s="65">
        <v>4522</v>
      </c>
      <c r="L16" s="28">
        <v>4403</v>
      </c>
      <c r="M16" s="28">
        <v>119</v>
      </c>
      <c r="N16" s="14">
        <v>3363</v>
      </c>
      <c r="O16" s="14">
        <v>1022</v>
      </c>
      <c r="P16" s="14">
        <v>18</v>
      </c>
      <c r="Q16" s="14">
        <v>119</v>
      </c>
      <c r="R16" s="87">
        <f t="shared" si="9"/>
        <v>4522</v>
      </c>
      <c r="S16" s="18">
        <v>4514</v>
      </c>
      <c r="T16" s="18">
        <v>3</v>
      </c>
      <c r="U16" s="18">
        <v>0</v>
      </c>
      <c r="V16" s="18">
        <v>5</v>
      </c>
      <c r="W16" s="87">
        <f t="shared" si="10"/>
        <v>4522</v>
      </c>
      <c r="X16" s="22">
        <v>4514</v>
      </c>
      <c r="Y16" s="22">
        <v>3</v>
      </c>
      <c r="Z16" s="22">
        <v>0</v>
      </c>
      <c r="AA16" s="23">
        <v>5</v>
      </c>
      <c r="AB16" s="88">
        <f t="shared" si="11"/>
        <v>4522</v>
      </c>
      <c r="AC16" s="27">
        <v>1411</v>
      </c>
      <c r="AD16" s="27">
        <v>3106</v>
      </c>
      <c r="AE16" s="27">
        <v>5</v>
      </c>
      <c r="AF16" s="88">
        <f t="shared" si="12"/>
        <v>4522</v>
      </c>
      <c r="AG16" s="35">
        <v>4275</v>
      </c>
      <c r="AH16" s="34">
        <v>12</v>
      </c>
      <c r="AI16" s="35">
        <v>235</v>
      </c>
      <c r="AJ16" s="101">
        <f t="shared" si="13"/>
        <v>4522</v>
      </c>
    </row>
    <row r="17" spans="1:36" ht="18.5" x14ac:dyDescent="0.65">
      <c r="A17" s="3" t="s">
        <v>59</v>
      </c>
      <c r="B17" s="48">
        <v>342467</v>
      </c>
      <c r="C17" s="68">
        <f>SUM(D17:E17)</f>
        <v>18376</v>
      </c>
      <c r="D17" s="53">
        <v>14045</v>
      </c>
      <c r="E17" s="53">
        <v>4331</v>
      </c>
      <c r="F17" s="73">
        <f>SUM(G17:H17)</f>
        <v>9382</v>
      </c>
      <c r="G17" s="17">
        <v>3629</v>
      </c>
      <c r="H17" s="17">
        <v>5753</v>
      </c>
      <c r="I17" s="60">
        <f>SUM(J17:K17)</f>
        <v>10737</v>
      </c>
      <c r="J17" s="65">
        <v>4111</v>
      </c>
      <c r="K17" s="65">
        <v>6626</v>
      </c>
      <c r="L17" s="28">
        <v>6409</v>
      </c>
      <c r="M17" s="28">
        <v>217</v>
      </c>
      <c r="N17" s="14">
        <v>4948</v>
      </c>
      <c r="O17" s="14">
        <v>1432</v>
      </c>
      <c r="P17" s="14">
        <v>29</v>
      </c>
      <c r="Q17" s="14">
        <v>217</v>
      </c>
      <c r="R17" s="87">
        <f t="shared" si="9"/>
        <v>6626</v>
      </c>
      <c r="S17" s="18">
        <v>6618</v>
      </c>
      <c r="T17" s="18">
        <v>2</v>
      </c>
      <c r="U17" s="18">
        <v>0</v>
      </c>
      <c r="V17" s="18">
        <v>6</v>
      </c>
      <c r="W17" s="87">
        <f t="shared" si="10"/>
        <v>6626</v>
      </c>
      <c r="X17" s="22">
        <v>6615</v>
      </c>
      <c r="Y17" s="22">
        <v>5</v>
      </c>
      <c r="Z17" s="22">
        <v>0</v>
      </c>
      <c r="AA17" s="23">
        <v>6</v>
      </c>
      <c r="AB17" s="88">
        <f t="shared" si="11"/>
        <v>6626</v>
      </c>
      <c r="AC17" s="27">
        <v>2431</v>
      </c>
      <c r="AD17" s="27">
        <v>4189</v>
      </c>
      <c r="AE17" s="27">
        <v>6</v>
      </c>
      <c r="AF17" s="88">
        <f t="shared" si="12"/>
        <v>6626</v>
      </c>
      <c r="AG17" s="35">
        <v>6154</v>
      </c>
      <c r="AH17" s="34">
        <v>12</v>
      </c>
      <c r="AI17" s="35">
        <v>460</v>
      </c>
      <c r="AJ17" s="101">
        <f t="shared" si="13"/>
        <v>6626</v>
      </c>
    </row>
    <row r="18" spans="1:36" ht="24" x14ac:dyDescent="0.35">
      <c r="A18" s="77" t="s">
        <v>60</v>
      </c>
      <c r="B18" s="49">
        <v>439</v>
      </c>
      <c r="C18" s="69">
        <f>SUM(D18:E18)</f>
        <v>0</v>
      </c>
      <c r="D18" s="54">
        <v>0</v>
      </c>
      <c r="E18" s="54">
        <v>0</v>
      </c>
      <c r="F18" s="74">
        <f>SUM(G18:H18)</f>
        <v>0</v>
      </c>
      <c r="G18" s="57">
        <v>0</v>
      </c>
      <c r="H18" s="57">
        <v>0</v>
      </c>
      <c r="I18" s="61">
        <f>SUM(J18:K18)</f>
        <v>18</v>
      </c>
      <c r="J18" s="49">
        <v>17</v>
      </c>
      <c r="K18" s="49">
        <v>1</v>
      </c>
      <c r="L18" s="29">
        <v>0</v>
      </c>
      <c r="M18" s="29">
        <v>1</v>
      </c>
      <c r="N18" s="5">
        <v>0</v>
      </c>
      <c r="O18" s="5">
        <v>0</v>
      </c>
      <c r="P18" s="5">
        <v>0</v>
      </c>
      <c r="Q18" s="5">
        <v>1</v>
      </c>
      <c r="R18" s="87">
        <f t="shared" si="9"/>
        <v>1</v>
      </c>
      <c r="S18" s="57">
        <v>1</v>
      </c>
      <c r="T18" s="57">
        <v>0</v>
      </c>
      <c r="U18" s="57">
        <v>0</v>
      </c>
      <c r="V18" s="57">
        <v>0</v>
      </c>
      <c r="W18" s="87">
        <f t="shared" si="10"/>
        <v>1</v>
      </c>
      <c r="X18" s="25">
        <v>1</v>
      </c>
      <c r="Y18" s="25">
        <v>0</v>
      </c>
      <c r="Z18" s="25">
        <v>0</v>
      </c>
      <c r="AA18" s="25">
        <v>0</v>
      </c>
      <c r="AB18" s="88">
        <f t="shared" si="11"/>
        <v>1</v>
      </c>
      <c r="AC18" s="29">
        <v>0</v>
      </c>
      <c r="AD18" s="29">
        <v>1</v>
      </c>
      <c r="AE18" s="29">
        <v>0</v>
      </c>
      <c r="AF18" s="88">
        <f t="shared" si="12"/>
        <v>1</v>
      </c>
      <c r="AG18" s="36">
        <v>0</v>
      </c>
      <c r="AH18" s="37">
        <v>0</v>
      </c>
      <c r="AI18" s="36">
        <v>1</v>
      </c>
      <c r="AJ18" s="101">
        <f t="shared" si="13"/>
        <v>1</v>
      </c>
    </row>
    <row r="19" spans="1:36" s="78" customFormat="1" ht="18.5" x14ac:dyDescent="0.65">
      <c r="A19" s="41" t="s">
        <v>23</v>
      </c>
      <c r="B19" s="102">
        <f>SUM(B14:B18)</f>
        <v>2040488</v>
      </c>
      <c r="C19" s="102">
        <f>SUM(C14:C18)</f>
        <v>96057</v>
      </c>
      <c r="D19" s="102">
        <f>SUM(D14:D18)</f>
        <v>72169</v>
      </c>
      <c r="E19" s="102">
        <f>SUM(E14:E18)</f>
        <v>23888</v>
      </c>
      <c r="F19" s="102">
        <f>SUM(F14:F18)</f>
        <v>47413</v>
      </c>
      <c r="G19" s="102">
        <f>SUM(G14:G18)</f>
        <v>16490</v>
      </c>
      <c r="H19" s="102">
        <f>SUM(H14:H18)</f>
        <v>30923</v>
      </c>
      <c r="I19" s="102">
        <f>SUM(I14:I18)</f>
        <v>52751</v>
      </c>
      <c r="J19" s="103">
        <f>SUM(J14:J18)</f>
        <v>21801</v>
      </c>
      <c r="K19" s="103">
        <f>SUM(K14:K18)</f>
        <v>30950</v>
      </c>
      <c r="L19" s="103">
        <f>SUM(L14:L18)</f>
        <v>29903</v>
      </c>
      <c r="M19" s="103">
        <f>SUM(M14:M18)</f>
        <v>1047</v>
      </c>
      <c r="N19" s="103">
        <f>SUM(N14:N18)</f>
        <v>23605</v>
      </c>
      <c r="O19" s="103">
        <f>SUM(O14:O18)</f>
        <v>6157</v>
      </c>
      <c r="P19" s="103">
        <f>SUM(P14:P18)</f>
        <v>141</v>
      </c>
      <c r="Q19" s="103">
        <f>SUM(Q14:Q18)</f>
        <v>1047</v>
      </c>
      <c r="R19" s="92">
        <f>SUM(R14:R18)</f>
        <v>30950</v>
      </c>
      <c r="S19" s="103">
        <f>SUM(S14:S18)</f>
        <v>30885</v>
      </c>
      <c r="T19" s="103">
        <f>SUM(T14:T18)</f>
        <v>30</v>
      </c>
      <c r="U19" s="103">
        <f>SUM(U14:U18)</f>
        <v>0</v>
      </c>
      <c r="V19" s="103">
        <f>SUM(V14:V18)</f>
        <v>35</v>
      </c>
      <c r="W19" s="92">
        <f>SUM(W14:W18)</f>
        <v>30950</v>
      </c>
      <c r="X19" s="103">
        <f>SUM(X14:X18)</f>
        <v>30883</v>
      </c>
      <c r="Y19" s="103">
        <f>SUM(Y14:Y18)</f>
        <v>32</v>
      </c>
      <c r="Z19" s="103">
        <f>SUM(Z14:Z18)</f>
        <v>0</v>
      </c>
      <c r="AA19" s="102">
        <f>SUM(AA14:AA18)</f>
        <v>35</v>
      </c>
      <c r="AB19" s="93">
        <f>SUM(AB14:AB18)</f>
        <v>30950</v>
      </c>
      <c r="AC19" s="102">
        <f>SUM(AC14:AC18)</f>
        <v>10073</v>
      </c>
      <c r="AD19" s="102">
        <f>SUM(AD14:AD18)</f>
        <v>20842</v>
      </c>
      <c r="AE19" s="102">
        <f>SUM(AE14:AE18)</f>
        <v>35</v>
      </c>
      <c r="AF19" s="93">
        <f>SUM(AF14:AF18)</f>
        <v>30950</v>
      </c>
      <c r="AG19" s="104">
        <f>SUM(AG14:AG18)</f>
        <v>29186</v>
      </c>
      <c r="AH19" s="105">
        <f>SUM(AH14:AH18)</f>
        <v>72</v>
      </c>
      <c r="AI19" s="104">
        <f>SUM(AI14:AI18)</f>
        <v>1692</v>
      </c>
      <c r="AJ19" s="106">
        <f>SUM(AJ14:AJ18)</f>
        <v>30950</v>
      </c>
    </row>
    <row r="20" spans="1:36" ht="18.5" x14ac:dyDescent="0.65">
      <c r="A20" s="3"/>
      <c r="B20" s="49"/>
      <c r="C20" s="69"/>
      <c r="D20" s="54"/>
      <c r="E20" s="54"/>
      <c r="F20" s="74"/>
      <c r="G20" s="57"/>
      <c r="H20" s="57"/>
      <c r="I20" s="61"/>
      <c r="J20" s="66"/>
      <c r="K20" s="66"/>
      <c r="L20" s="30"/>
      <c r="M20" s="30"/>
      <c r="N20" s="12"/>
      <c r="O20" s="12"/>
      <c r="P20" s="12"/>
      <c r="Q20" s="12"/>
      <c r="R20" s="83"/>
      <c r="S20" s="19"/>
      <c r="T20" s="19"/>
      <c r="U20" s="19"/>
      <c r="V20" s="19"/>
      <c r="W20" s="83"/>
      <c r="X20" s="24"/>
      <c r="Y20" s="24"/>
      <c r="Z20" s="24"/>
      <c r="AA20" s="25"/>
      <c r="AB20" s="82"/>
      <c r="AC20" s="29"/>
      <c r="AD20" s="29"/>
      <c r="AE20" s="29"/>
      <c r="AF20" s="82"/>
      <c r="AG20" s="36"/>
      <c r="AH20" s="37"/>
      <c r="AI20" s="36"/>
      <c r="AJ20" s="98"/>
    </row>
    <row r="21" spans="1:36" ht="18.5" x14ac:dyDescent="0.65">
      <c r="A21" s="3"/>
      <c r="B21" s="49"/>
      <c r="C21" s="69"/>
      <c r="D21" s="54"/>
      <c r="E21" s="54"/>
      <c r="F21" s="74"/>
      <c r="G21" s="57"/>
      <c r="H21" s="57"/>
      <c r="I21" s="61"/>
      <c r="J21" s="66"/>
      <c r="K21" s="66"/>
      <c r="L21" s="30"/>
      <c r="M21" s="30"/>
      <c r="N21" s="12"/>
      <c r="O21" s="12"/>
      <c r="P21" s="12"/>
      <c r="Q21" s="12"/>
      <c r="R21" s="83"/>
      <c r="S21" s="19"/>
      <c r="T21" s="19"/>
      <c r="U21" s="19"/>
      <c r="V21" s="19"/>
      <c r="W21" s="83"/>
      <c r="X21" s="24"/>
      <c r="Y21" s="24"/>
      <c r="Z21" s="24"/>
      <c r="AA21" s="24"/>
      <c r="AB21" s="83"/>
      <c r="AC21" s="30"/>
      <c r="AD21" s="30"/>
      <c r="AE21" s="30"/>
      <c r="AF21" s="83"/>
      <c r="AG21" s="38"/>
      <c r="AH21" s="39"/>
      <c r="AI21" s="38"/>
      <c r="AJ21" s="99"/>
    </row>
    <row r="22" spans="1:36" ht="18.5" x14ac:dyDescent="0.65">
      <c r="A22" s="2"/>
      <c r="B22" s="49"/>
      <c r="C22" s="69"/>
      <c r="D22" s="54"/>
      <c r="E22" s="54"/>
      <c r="F22" s="74"/>
      <c r="G22" s="57"/>
      <c r="H22" s="57"/>
      <c r="I22" s="61"/>
      <c r="J22" s="66"/>
      <c r="K22" s="66"/>
      <c r="L22" s="30"/>
      <c r="M22" s="30"/>
      <c r="N22" s="12"/>
      <c r="O22" s="12"/>
      <c r="P22" s="12"/>
      <c r="Q22" s="12"/>
      <c r="R22" s="83"/>
      <c r="S22" s="19"/>
      <c r="T22" s="19"/>
      <c r="U22" s="19"/>
      <c r="V22" s="19"/>
      <c r="W22" s="83"/>
      <c r="X22" s="24"/>
      <c r="Y22" s="24"/>
      <c r="Z22" s="24"/>
      <c r="AA22" s="24"/>
      <c r="AB22" s="83"/>
      <c r="AC22" s="30"/>
      <c r="AD22" s="30"/>
      <c r="AE22" s="30"/>
      <c r="AF22" s="83"/>
      <c r="AG22" s="38"/>
      <c r="AH22" s="39"/>
      <c r="AI22" s="38"/>
      <c r="AJ22" s="99"/>
    </row>
    <row r="23" spans="1:36" ht="18.5" x14ac:dyDescent="0.65">
      <c r="A23" s="2"/>
      <c r="B23" s="49"/>
      <c r="C23" s="69"/>
      <c r="D23" s="54"/>
      <c r="E23" s="54"/>
      <c r="F23" s="74"/>
      <c r="G23" s="57"/>
      <c r="H23" s="57"/>
      <c r="I23" s="61"/>
      <c r="J23" s="66"/>
      <c r="K23" s="66"/>
      <c r="L23" s="30"/>
      <c r="M23" s="30"/>
      <c r="N23" s="12"/>
      <c r="O23" s="12"/>
      <c r="P23" s="12"/>
      <c r="Q23" s="12"/>
      <c r="R23" s="83"/>
      <c r="S23" s="19"/>
      <c r="T23" s="19"/>
      <c r="U23" s="19"/>
      <c r="V23" s="19"/>
      <c r="W23" s="83"/>
      <c r="X23" s="24"/>
      <c r="Y23" s="24"/>
      <c r="Z23" s="24"/>
      <c r="AA23" s="24"/>
      <c r="AB23" s="83"/>
      <c r="AC23" s="30"/>
      <c r="AD23" s="30"/>
      <c r="AE23" s="30"/>
      <c r="AF23" s="83"/>
      <c r="AG23" s="38"/>
      <c r="AH23" s="39"/>
      <c r="AI23" s="38"/>
      <c r="AJ23" s="99"/>
    </row>
    <row r="24" spans="1:36" ht="18.5" x14ac:dyDescent="0.65">
      <c r="A24" s="2"/>
      <c r="B24" s="49"/>
      <c r="C24" s="69"/>
      <c r="D24" s="54"/>
      <c r="E24" s="54"/>
      <c r="F24" s="74"/>
      <c r="G24" s="57"/>
      <c r="H24" s="57"/>
      <c r="I24" s="61"/>
      <c r="J24" s="66"/>
      <c r="K24" s="66"/>
      <c r="L24" s="30"/>
      <c r="M24" s="30"/>
      <c r="N24" s="12"/>
      <c r="O24" s="12"/>
      <c r="P24" s="12"/>
      <c r="Q24" s="12"/>
      <c r="R24" s="83"/>
      <c r="S24" s="19"/>
      <c r="T24" s="19"/>
      <c r="U24" s="19"/>
      <c r="V24" s="19"/>
      <c r="W24" s="83"/>
      <c r="X24" s="24"/>
      <c r="Y24" s="24"/>
      <c r="Z24" s="24"/>
      <c r="AA24" s="24"/>
      <c r="AB24" s="83"/>
      <c r="AC24" s="30"/>
      <c r="AD24" s="30"/>
      <c r="AE24" s="30"/>
      <c r="AF24" s="83"/>
      <c r="AG24" s="38"/>
      <c r="AH24" s="39"/>
      <c r="AI24" s="38"/>
      <c r="AJ24" s="99"/>
    </row>
    <row r="25" spans="1:36" ht="18.5" x14ac:dyDescent="0.65">
      <c r="A25" s="2"/>
      <c r="B25" s="49"/>
      <c r="C25" s="69"/>
      <c r="D25" s="54"/>
      <c r="E25" s="54"/>
      <c r="F25" s="74"/>
      <c r="G25" s="57"/>
      <c r="H25" s="57"/>
      <c r="I25" s="61"/>
      <c r="J25" s="66"/>
      <c r="K25" s="66"/>
      <c r="L25" s="30"/>
      <c r="M25" s="30"/>
      <c r="N25" s="12"/>
      <c r="O25" s="12"/>
      <c r="P25" s="12"/>
      <c r="Q25" s="12"/>
      <c r="R25" s="83"/>
      <c r="S25" s="19"/>
      <c r="T25" s="19"/>
      <c r="U25" s="19"/>
      <c r="V25" s="19"/>
      <c r="W25" s="83"/>
      <c r="X25" s="24"/>
      <c r="Y25" s="24"/>
      <c r="Z25" s="24"/>
      <c r="AA25" s="24"/>
      <c r="AB25" s="83"/>
      <c r="AC25" s="30"/>
      <c r="AD25" s="30"/>
      <c r="AE25" s="30"/>
      <c r="AF25" s="83"/>
      <c r="AG25" s="38"/>
      <c r="AH25" s="39"/>
      <c r="AI25" s="38"/>
      <c r="AJ25" s="99"/>
    </row>
    <row r="26" spans="1:36" ht="18.5" x14ac:dyDescent="0.65">
      <c r="A26" s="2"/>
      <c r="B26" s="49"/>
      <c r="C26" s="69"/>
      <c r="D26" s="54"/>
      <c r="E26" s="54"/>
      <c r="F26" s="74"/>
      <c r="G26" s="57"/>
      <c r="H26" s="57"/>
      <c r="I26" s="61"/>
      <c r="J26" s="66"/>
      <c r="K26" s="66"/>
      <c r="L26" s="30"/>
      <c r="M26" s="30"/>
      <c r="N26" s="12"/>
      <c r="O26" s="12"/>
      <c r="P26" s="12"/>
      <c r="Q26" s="12"/>
      <c r="R26" s="83"/>
      <c r="S26" s="19"/>
      <c r="T26" s="19"/>
      <c r="U26" s="19"/>
      <c r="V26" s="19"/>
      <c r="W26" s="83"/>
      <c r="X26" s="24"/>
      <c r="Y26" s="24"/>
      <c r="Z26" s="24"/>
      <c r="AA26" s="24"/>
      <c r="AB26" s="83"/>
      <c r="AC26" s="30"/>
      <c r="AD26" s="30"/>
      <c r="AE26" s="30"/>
      <c r="AF26" s="83"/>
      <c r="AG26" s="38"/>
      <c r="AH26" s="39"/>
      <c r="AI26" s="38"/>
      <c r="AJ26" s="99"/>
    </row>
    <row r="27" spans="1:36" ht="18.5" x14ac:dyDescent="0.65">
      <c r="A27" s="2"/>
      <c r="B27" s="49"/>
      <c r="C27" s="69"/>
      <c r="D27" s="54"/>
      <c r="E27" s="54"/>
      <c r="F27" s="74"/>
      <c r="G27" s="57"/>
      <c r="H27" s="57"/>
      <c r="I27" s="61"/>
      <c r="J27" s="66"/>
      <c r="K27" s="66"/>
      <c r="L27" s="30"/>
      <c r="M27" s="30"/>
      <c r="N27" s="12"/>
      <c r="O27" s="12"/>
      <c r="P27" s="12"/>
      <c r="Q27" s="12"/>
      <c r="R27" s="83"/>
      <c r="S27" s="19"/>
      <c r="T27" s="19"/>
      <c r="U27" s="19"/>
      <c r="V27" s="19"/>
      <c r="W27" s="83"/>
      <c r="X27" s="24"/>
      <c r="Y27" s="24"/>
      <c r="Z27" s="24"/>
      <c r="AA27" s="24"/>
      <c r="AB27" s="83"/>
      <c r="AC27" s="30"/>
      <c r="AD27" s="30"/>
      <c r="AE27" s="30"/>
      <c r="AF27" s="83"/>
      <c r="AG27" s="38"/>
      <c r="AH27" s="39"/>
      <c r="AI27" s="38"/>
      <c r="AJ27" s="99"/>
    </row>
    <row r="28" spans="1:36" ht="18.5" x14ac:dyDescent="0.65">
      <c r="A28" s="2"/>
      <c r="B28" s="49"/>
      <c r="C28" s="69"/>
      <c r="D28" s="54"/>
      <c r="E28" s="54"/>
      <c r="F28" s="74"/>
      <c r="G28" s="57"/>
      <c r="H28" s="57"/>
      <c r="I28" s="61"/>
      <c r="J28" s="66"/>
      <c r="K28" s="66"/>
      <c r="L28" s="30"/>
      <c r="M28" s="30"/>
      <c r="N28" s="12"/>
      <c r="O28" s="12"/>
      <c r="P28" s="12"/>
      <c r="Q28" s="12"/>
      <c r="R28" s="83"/>
      <c r="S28" s="19"/>
      <c r="T28" s="19"/>
      <c r="U28" s="19"/>
      <c r="V28" s="19"/>
      <c r="W28" s="83"/>
      <c r="X28" s="24"/>
      <c r="Y28" s="24"/>
      <c r="Z28" s="24"/>
      <c r="AA28" s="24"/>
      <c r="AB28" s="83"/>
      <c r="AC28" s="30"/>
      <c r="AD28" s="30"/>
      <c r="AE28" s="30"/>
      <c r="AF28" s="83"/>
      <c r="AG28" s="38"/>
      <c r="AH28" s="39"/>
      <c r="AI28" s="38"/>
      <c r="AJ28" s="99"/>
    </row>
    <row r="29" spans="1:36" ht="18.5" x14ac:dyDescent="0.65">
      <c r="A29" s="2"/>
      <c r="B29" s="49"/>
      <c r="C29" s="69"/>
      <c r="D29" s="54"/>
      <c r="E29" s="54"/>
      <c r="F29" s="74"/>
      <c r="G29" s="57"/>
      <c r="H29" s="57"/>
      <c r="I29" s="61"/>
      <c r="J29" s="66"/>
      <c r="K29" s="66"/>
      <c r="L29" s="30"/>
      <c r="M29" s="30"/>
      <c r="N29" s="12"/>
      <c r="O29" s="12"/>
      <c r="P29" s="12"/>
      <c r="Q29" s="12"/>
      <c r="R29" s="83"/>
      <c r="S29" s="19"/>
      <c r="T29" s="19"/>
      <c r="U29" s="19"/>
      <c r="V29" s="19"/>
      <c r="W29" s="83"/>
      <c r="X29" s="24"/>
      <c r="Y29" s="24"/>
      <c r="Z29" s="24"/>
      <c r="AA29" s="24"/>
      <c r="AB29" s="83"/>
      <c r="AC29" s="30"/>
      <c r="AD29" s="30"/>
      <c r="AE29" s="30"/>
      <c r="AF29" s="83"/>
      <c r="AG29" s="38"/>
      <c r="AH29" s="39"/>
      <c r="AI29" s="38"/>
      <c r="AJ29" s="99"/>
    </row>
    <row r="30" spans="1:36" ht="18.5" x14ac:dyDescent="0.65">
      <c r="A30" s="2"/>
      <c r="B30" s="49"/>
      <c r="C30" s="69"/>
      <c r="D30" s="54"/>
      <c r="E30" s="54"/>
      <c r="F30" s="74"/>
      <c r="G30" s="57"/>
      <c r="H30" s="57"/>
      <c r="I30" s="61"/>
      <c r="J30" s="66"/>
      <c r="K30" s="66"/>
      <c r="L30" s="30"/>
      <c r="M30" s="30"/>
      <c r="N30" s="12"/>
      <c r="O30" s="12"/>
      <c r="P30" s="12"/>
      <c r="Q30" s="12"/>
      <c r="R30" s="83"/>
      <c r="S30" s="19"/>
      <c r="T30" s="19"/>
      <c r="U30" s="19"/>
      <c r="V30" s="19"/>
      <c r="W30" s="83"/>
      <c r="X30" s="24"/>
      <c r="Y30" s="24"/>
      <c r="Z30" s="24"/>
      <c r="AA30" s="24"/>
      <c r="AB30" s="83"/>
      <c r="AC30" s="30"/>
      <c r="AD30" s="30"/>
      <c r="AE30" s="30"/>
      <c r="AF30" s="83"/>
      <c r="AG30" s="38"/>
      <c r="AH30" s="39"/>
      <c r="AI30" s="38"/>
      <c r="AJ30" s="99"/>
    </row>
    <row r="31" spans="1:36" ht="18.5" x14ac:dyDescent="0.65">
      <c r="A31" s="2"/>
      <c r="B31" s="49"/>
      <c r="C31" s="69"/>
      <c r="D31" s="54"/>
      <c r="E31" s="54"/>
      <c r="F31" s="74"/>
      <c r="G31" s="57"/>
      <c r="H31" s="57"/>
      <c r="I31" s="61"/>
      <c r="J31" s="66"/>
      <c r="K31" s="66"/>
      <c r="L31" s="30"/>
      <c r="M31" s="30"/>
      <c r="N31" s="12"/>
      <c r="O31" s="12"/>
      <c r="P31" s="12"/>
      <c r="Q31" s="12"/>
      <c r="R31" s="83"/>
      <c r="S31" s="19"/>
      <c r="T31" s="19"/>
      <c r="U31" s="19"/>
      <c r="V31" s="19"/>
      <c r="W31" s="83"/>
      <c r="X31" s="24"/>
      <c r="Y31" s="24"/>
      <c r="Z31" s="24"/>
      <c r="AA31" s="24"/>
      <c r="AB31" s="83"/>
      <c r="AC31" s="30"/>
      <c r="AD31" s="30"/>
      <c r="AE31" s="30"/>
      <c r="AF31" s="83"/>
      <c r="AG31" s="38"/>
      <c r="AH31" s="39"/>
      <c r="AI31" s="38"/>
      <c r="AJ31" s="99"/>
    </row>
    <row r="32" spans="1:36" ht="18.5" x14ac:dyDescent="0.65">
      <c r="A32" s="2"/>
      <c r="B32" s="49"/>
      <c r="C32" s="69"/>
      <c r="D32" s="54"/>
      <c r="E32" s="54"/>
      <c r="F32" s="74"/>
      <c r="G32" s="57"/>
      <c r="H32" s="57"/>
      <c r="I32" s="61"/>
      <c r="J32" s="66"/>
      <c r="K32" s="66"/>
      <c r="L32" s="30"/>
      <c r="M32" s="30"/>
      <c r="N32" s="12"/>
      <c r="O32" s="12"/>
      <c r="P32" s="12"/>
      <c r="Q32" s="12"/>
      <c r="R32" s="83"/>
      <c r="S32" s="19"/>
      <c r="T32" s="19"/>
      <c r="U32" s="19"/>
      <c r="V32" s="19"/>
      <c r="W32" s="83"/>
      <c r="X32" s="24"/>
      <c r="Y32" s="24"/>
      <c r="Z32" s="24"/>
      <c r="AA32" s="24"/>
      <c r="AB32" s="83"/>
      <c r="AC32" s="30"/>
      <c r="AD32" s="30"/>
      <c r="AE32" s="30"/>
      <c r="AF32" s="83"/>
      <c r="AG32" s="38"/>
      <c r="AH32" s="39"/>
      <c r="AI32" s="38"/>
      <c r="AJ32" s="99"/>
    </row>
    <row r="33" spans="1:36" ht="18.5" x14ac:dyDescent="0.65">
      <c r="A33" s="2"/>
      <c r="B33" s="49"/>
      <c r="C33" s="69"/>
      <c r="D33" s="54"/>
      <c r="E33" s="54"/>
      <c r="F33" s="74"/>
      <c r="G33" s="57"/>
      <c r="H33" s="57"/>
      <c r="I33" s="61"/>
      <c r="J33" s="66"/>
      <c r="K33" s="66"/>
      <c r="L33" s="30"/>
      <c r="M33" s="30"/>
      <c r="N33" s="12"/>
      <c r="O33" s="12"/>
      <c r="P33" s="12"/>
      <c r="Q33" s="12"/>
      <c r="R33" s="83"/>
      <c r="S33" s="19"/>
      <c r="T33" s="19"/>
      <c r="U33" s="19"/>
      <c r="V33" s="19"/>
      <c r="W33" s="83"/>
      <c r="X33" s="24"/>
      <c r="Y33" s="24"/>
      <c r="Z33" s="24"/>
      <c r="AA33" s="24"/>
      <c r="AB33" s="83"/>
      <c r="AC33" s="30"/>
      <c r="AD33" s="30"/>
      <c r="AE33" s="30"/>
      <c r="AF33" s="83"/>
      <c r="AG33" s="38"/>
      <c r="AH33" s="39"/>
      <c r="AI33" s="38"/>
      <c r="AJ33" s="99"/>
    </row>
    <row r="34" spans="1:36" ht="18.5" x14ac:dyDescent="0.65">
      <c r="A34" s="2"/>
      <c r="B34" s="49"/>
      <c r="C34" s="69"/>
      <c r="D34" s="54"/>
      <c r="E34" s="54"/>
      <c r="F34" s="74"/>
      <c r="G34" s="57"/>
      <c r="H34" s="57"/>
      <c r="I34" s="61"/>
      <c r="J34" s="66"/>
      <c r="K34" s="66"/>
      <c r="L34" s="30"/>
      <c r="M34" s="30"/>
      <c r="N34" s="12"/>
      <c r="O34" s="12"/>
      <c r="P34" s="12"/>
      <c r="Q34" s="12"/>
      <c r="R34" s="83"/>
      <c r="S34" s="19"/>
      <c r="T34" s="19"/>
      <c r="U34" s="19"/>
      <c r="V34" s="19"/>
      <c r="W34" s="83"/>
      <c r="X34" s="24"/>
      <c r="Y34" s="24"/>
      <c r="Z34" s="24"/>
      <c r="AA34" s="24"/>
      <c r="AB34" s="83"/>
      <c r="AC34" s="30"/>
      <c r="AD34" s="30"/>
      <c r="AE34" s="30"/>
      <c r="AF34" s="83"/>
      <c r="AG34" s="38"/>
      <c r="AH34" s="39"/>
      <c r="AI34" s="38"/>
      <c r="AJ34" s="99"/>
    </row>
    <row r="35" spans="1:36" ht="18.5" x14ac:dyDescent="0.65">
      <c r="A35" s="2"/>
      <c r="B35" s="49"/>
      <c r="C35" s="69"/>
      <c r="D35" s="54"/>
      <c r="E35" s="54"/>
      <c r="F35" s="74"/>
      <c r="G35" s="57"/>
      <c r="H35" s="57"/>
      <c r="I35" s="61"/>
      <c r="J35" s="66"/>
      <c r="K35" s="66"/>
      <c r="L35" s="30"/>
      <c r="M35" s="30"/>
      <c r="N35" s="12"/>
      <c r="O35" s="12"/>
      <c r="P35" s="12"/>
      <c r="Q35" s="12"/>
      <c r="R35" s="83"/>
      <c r="S35" s="19"/>
      <c r="T35" s="19"/>
      <c r="U35" s="19"/>
      <c r="V35" s="19"/>
      <c r="W35" s="83"/>
      <c r="X35" s="24"/>
      <c r="Y35" s="24"/>
      <c r="Z35" s="24"/>
      <c r="AA35" s="24"/>
      <c r="AB35" s="83"/>
      <c r="AC35" s="30"/>
      <c r="AD35" s="30"/>
      <c r="AE35" s="30"/>
      <c r="AF35" s="83"/>
      <c r="AG35" s="38"/>
      <c r="AH35" s="39"/>
      <c r="AI35" s="38"/>
      <c r="AJ35" s="99"/>
    </row>
    <row r="36" spans="1:36" ht="18.5" x14ac:dyDescent="0.65">
      <c r="A36" s="2"/>
      <c r="B36" s="49"/>
      <c r="C36" s="69"/>
      <c r="D36" s="54"/>
      <c r="E36" s="54"/>
      <c r="F36" s="74"/>
      <c r="G36" s="57"/>
      <c r="H36" s="57"/>
      <c r="I36" s="61"/>
      <c r="J36" s="66"/>
      <c r="K36" s="66"/>
      <c r="L36" s="30"/>
      <c r="M36" s="30"/>
      <c r="N36" s="12"/>
      <c r="O36" s="12"/>
      <c r="P36" s="12"/>
      <c r="Q36" s="12"/>
      <c r="R36" s="83"/>
      <c r="S36" s="19"/>
      <c r="T36" s="19"/>
      <c r="U36" s="19"/>
      <c r="V36" s="19"/>
      <c r="W36" s="83"/>
      <c r="X36" s="24"/>
      <c r="Y36" s="24"/>
      <c r="Z36" s="24"/>
      <c r="AA36" s="24"/>
      <c r="AB36" s="83"/>
      <c r="AC36" s="30"/>
      <c r="AD36" s="30"/>
      <c r="AE36" s="30"/>
      <c r="AF36" s="83"/>
      <c r="AG36" s="38"/>
      <c r="AH36" s="39"/>
      <c r="AI36" s="38"/>
      <c r="AJ36" s="99"/>
    </row>
    <row r="37" spans="1:36" ht="18.5" x14ac:dyDescent="0.65">
      <c r="A37" s="2"/>
      <c r="B37" s="49"/>
      <c r="C37" s="69"/>
      <c r="D37" s="54"/>
      <c r="E37" s="54"/>
      <c r="F37" s="74"/>
      <c r="G37" s="57"/>
      <c r="H37" s="57"/>
      <c r="I37" s="61"/>
      <c r="J37" s="66"/>
      <c r="K37" s="66"/>
      <c r="L37" s="30"/>
      <c r="M37" s="30"/>
      <c r="N37" s="12"/>
      <c r="O37" s="12"/>
      <c r="P37" s="12"/>
      <c r="Q37" s="12"/>
      <c r="R37" s="83"/>
      <c r="S37" s="19"/>
      <c r="T37" s="19"/>
      <c r="U37" s="19"/>
      <c r="V37" s="19"/>
      <c r="W37" s="83"/>
      <c r="X37" s="24"/>
      <c r="Y37" s="24"/>
      <c r="Z37" s="24"/>
      <c r="AA37" s="24"/>
      <c r="AB37" s="83"/>
      <c r="AC37" s="30"/>
      <c r="AD37" s="30"/>
      <c r="AE37" s="30"/>
      <c r="AF37" s="83"/>
      <c r="AG37" s="38"/>
      <c r="AH37" s="39"/>
      <c r="AI37" s="38"/>
      <c r="AJ37" s="99"/>
    </row>
    <row r="38" spans="1:36" ht="18.5" x14ac:dyDescent="0.65">
      <c r="A38" s="2"/>
      <c r="B38" s="49"/>
      <c r="C38" s="69"/>
      <c r="D38" s="54"/>
      <c r="E38" s="54"/>
      <c r="F38" s="74"/>
      <c r="G38" s="57"/>
      <c r="H38" s="57"/>
      <c r="I38" s="61"/>
      <c r="J38" s="66"/>
      <c r="K38" s="66"/>
      <c r="L38" s="30"/>
      <c r="M38" s="30"/>
      <c r="N38" s="12"/>
      <c r="O38" s="12"/>
      <c r="P38" s="12"/>
      <c r="Q38" s="12"/>
      <c r="R38" s="83"/>
      <c r="S38" s="19"/>
      <c r="T38" s="19"/>
      <c r="U38" s="19"/>
      <c r="V38" s="19"/>
      <c r="W38" s="83"/>
      <c r="X38" s="24"/>
      <c r="Y38" s="24"/>
      <c r="Z38" s="24"/>
      <c r="AA38" s="24"/>
      <c r="AB38" s="83"/>
      <c r="AC38" s="30"/>
      <c r="AD38" s="30"/>
      <c r="AE38" s="30"/>
      <c r="AF38" s="83"/>
      <c r="AG38" s="38"/>
      <c r="AH38" s="39"/>
      <c r="AI38" s="38"/>
      <c r="AJ38" s="99"/>
    </row>
    <row r="39" spans="1:36" ht="18.5" x14ac:dyDescent="0.65">
      <c r="A39" s="2"/>
      <c r="B39" s="49"/>
      <c r="C39" s="69"/>
      <c r="D39" s="54"/>
      <c r="E39" s="54"/>
      <c r="F39" s="74"/>
      <c r="G39" s="57"/>
      <c r="H39" s="57"/>
      <c r="I39" s="61"/>
      <c r="J39" s="66"/>
      <c r="K39" s="66"/>
      <c r="L39" s="30"/>
      <c r="M39" s="30"/>
      <c r="N39" s="12"/>
      <c r="O39" s="12"/>
      <c r="P39" s="12"/>
      <c r="Q39" s="12"/>
      <c r="R39" s="83"/>
      <c r="S39" s="19"/>
      <c r="T39" s="19"/>
      <c r="U39" s="19"/>
      <c r="V39" s="19"/>
      <c r="W39" s="83"/>
      <c r="X39" s="24"/>
      <c r="Y39" s="24"/>
      <c r="Z39" s="24"/>
      <c r="AA39" s="24"/>
      <c r="AB39" s="83"/>
      <c r="AC39" s="30"/>
      <c r="AD39" s="30"/>
      <c r="AE39" s="30"/>
      <c r="AF39" s="83"/>
      <c r="AG39" s="38"/>
      <c r="AH39" s="39"/>
      <c r="AI39" s="38"/>
      <c r="AJ39" s="99"/>
    </row>
    <row r="40" spans="1:36" ht="18.5" x14ac:dyDescent="0.65">
      <c r="A40" s="2"/>
      <c r="B40" s="49"/>
      <c r="C40" s="69"/>
      <c r="D40" s="54"/>
      <c r="E40" s="54"/>
      <c r="F40" s="74"/>
      <c r="G40" s="57"/>
      <c r="H40" s="57"/>
      <c r="I40" s="61"/>
      <c r="J40" s="66"/>
      <c r="K40" s="66"/>
      <c r="L40" s="30"/>
      <c r="M40" s="30"/>
      <c r="N40" s="12"/>
      <c r="O40" s="12"/>
      <c r="P40" s="12"/>
      <c r="Q40" s="12"/>
      <c r="R40" s="83"/>
      <c r="S40" s="19"/>
      <c r="T40" s="19"/>
      <c r="U40" s="19"/>
      <c r="V40" s="19"/>
      <c r="W40" s="83"/>
      <c r="X40" s="24"/>
      <c r="Y40" s="24"/>
      <c r="Z40" s="24"/>
      <c r="AA40" s="24"/>
      <c r="AB40" s="83"/>
      <c r="AC40" s="30"/>
      <c r="AD40" s="30"/>
      <c r="AE40" s="30"/>
      <c r="AF40" s="83"/>
      <c r="AG40" s="38"/>
      <c r="AH40" s="39"/>
      <c r="AI40" s="38"/>
      <c r="AJ40" s="99"/>
    </row>
    <row r="41" spans="1:36" ht="18.5" x14ac:dyDescent="0.65">
      <c r="A41" s="2"/>
      <c r="B41" s="50"/>
      <c r="C41" s="70"/>
      <c r="D41" s="55"/>
      <c r="E41" s="55"/>
      <c r="F41" s="75"/>
      <c r="G41" s="58"/>
      <c r="H41" s="58"/>
      <c r="I41" s="62"/>
      <c r="AH41" s="39"/>
      <c r="AI41" s="38"/>
      <c r="AJ41" s="99"/>
    </row>
    <row r="42" spans="1:36" ht="18.5" x14ac:dyDescent="0.65">
      <c r="A42" s="2"/>
      <c r="B42" s="50"/>
      <c r="C42" s="70"/>
      <c r="D42" s="55"/>
      <c r="E42" s="55"/>
      <c r="F42" s="75"/>
      <c r="G42" s="58"/>
      <c r="H42" s="58"/>
      <c r="I42" s="62"/>
      <c r="AH42" s="39"/>
      <c r="AI42" s="38"/>
      <c r="AJ42" s="99"/>
    </row>
    <row r="43" spans="1:36" ht="18.5" x14ac:dyDescent="0.65">
      <c r="A43" s="2"/>
      <c r="B43" s="50"/>
      <c r="C43" s="70"/>
      <c r="D43" s="55"/>
      <c r="E43" s="55"/>
      <c r="F43" s="75"/>
      <c r="G43" s="58"/>
      <c r="H43" s="58"/>
      <c r="I43" s="62"/>
      <c r="AH43" s="39"/>
      <c r="AI43" s="38"/>
      <c r="AJ43" s="99"/>
    </row>
    <row r="44" spans="1:36" ht="18.5" x14ac:dyDescent="0.65">
      <c r="A44" s="2"/>
      <c r="B44" s="50"/>
      <c r="C44" s="70"/>
      <c r="D44" s="55"/>
      <c r="E44" s="55"/>
      <c r="F44" s="75"/>
      <c r="G44" s="58"/>
      <c r="H44" s="58"/>
      <c r="I44" s="62"/>
      <c r="AH44" s="39"/>
      <c r="AI44" s="38"/>
      <c r="AJ44" s="99"/>
    </row>
    <row r="45" spans="1:36" ht="18.5" x14ac:dyDescent="0.65">
      <c r="A45" s="2"/>
      <c r="B45" s="50"/>
      <c r="C45" s="70"/>
      <c r="D45" s="55"/>
      <c r="E45" s="55"/>
      <c r="F45" s="75"/>
      <c r="G45" s="58"/>
      <c r="H45" s="58"/>
      <c r="I45" s="62"/>
      <c r="AH45" s="39"/>
      <c r="AI45" s="38"/>
      <c r="AJ45" s="99"/>
    </row>
    <row r="46" spans="1:36" ht="18.5" x14ac:dyDescent="0.65">
      <c r="A46" s="2"/>
      <c r="B46" s="50"/>
      <c r="C46" s="70"/>
      <c r="D46" s="55"/>
      <c r="E46" s="55"/>
      <c r="F46" s="75"/>
      <c r="G46" s="58"/>
      <c r="H46" s="58"/>
      <c r="I46" s="62"/>
      <c r="AH46" s="39"/>
      <c r="AI46" s="38"/>
      <c r="AJ46" s="99"/>
    </row>
    <row r="47" spans="1:36" ht="18.5" x14ac:dyDescent="0.65">
      <c r="A47" s="2"/>
      <c r="B47" s="50"/>
      <c r="C47" s="70"/>
      <c r="D47" s="55"/>
      <c r="E47" s="55"/>
      <c r="F47" s="75"/>
      <c r="G47" s="58"/>
      <c r="H47" s="58"/>
      <c r="I47" s="62"/>
      <c r="AH47" s="39"/>
      <c r="AI47" s="38"/>
      <c r="AJ47" s="99"/>
    </row>
    <row r="48" spans="1:36" ht="18.5" x14ac:dyDescent="0.65">
      <c r="A48" s="2"/>
      <c r="B48" s="50"/>
      <c r="C48" s="70"/>
      <c r="D48" s="55"/>
      <c r="E48" s="55"/>
      <c r="F48" s="75"/>
      <c r="G48" s="58"/>
      <c r="H48" s="58"/>
      <c r="I48" s="62"/>
      <c r="AH48" s="39"/>
      <c r="AI48" s="38"/>
      <c r="AJ48" s="99"/>
    </row>
    <row r="49" spans="1:36" ht="18.5" x14ac:dyDescent="0.65">
      <c r="A49" s="2"/>
      <c r="B49" s="50"/>
      <c r="C49" s="70"/>
      <c r="D49" s="55"/>
      <c r="E49" s="55"/>
      <c r="F49" s="75"/>
      <c r="G49" s="58"/>
      <c r="H49" s="58"/>
      <c r="I49" s="62"/>
      <c r="AH49" s="39"/>
      <c r="AI49" s="38"/>
      <c r="AJ49" s="99"/>
    </row>
    <row r="50" spans="1:36" ht="18.5" x14ac:dyDescent="0.65">
      <c r="A50" s="2"/>
      <c r="B50" s="50"/>
      <c r="C50" s="70"/>
      <c r="D50" s="55"/>
      <c r="E50" s="55"/>
      <c r="F50" s="75"/>
      <c r="G50" s="58"/>
      <c r="H50" s="58"/>
      <c r="I50" s="62"/>
      <c r="AH50" s="39"/>
      <c r="AI50" s="38"/>
      <c r="AJ50" s="99"/>
    </row>
    <row r="51" spans="1:36" ht="18.5" x14ac:dyDescent="0.65">
      <c r="A51" s="2"/>
      <c r="B51" s="50"/>
      <c r="C51" s="70"/>
      <c r="D51" s="55"/>
      <c r="E51" s="55"/>
      <c r="F51" s="75"/>
      <c r="G51" s="58"/>
      <c r="H51" s="58"/>
      <c r="I51" s="62"/>
      <c r="AH51" s="39"/>
      <c r="AI51" s="38"/>
      <c r="AJ51" s="99"/>
    </row>
    <row r="52" spans="1:36" ht="18.5" x14ac:dyDescent="0.65">
      <c r="A52" s="2"/>
      <c r="B52" s="50"/>
      <c r="C52" s="70"/>
      <c r="D52" s="55"/>
      <c r="E52" s="55"/>
      <c r="F52" s="75"/>
      <c r="G52" s="58"/>
      <c r="H52" s="58"/>
      <c r="I52" s="62"/>
      <c r="AH52" s="39"/>
      <c r="AI52" s="38"/>
      <c r="AJ52" s="99"/>
    </row>
    <row r="53" spans="1:36" ht="18.5" x14ac:dyDescent="0.65">
      <c r="A53" s="2"/>
      <c r="B53" s="50"/>
      <c r="C53" s="70"/>
      <c r="D53" s="55"/>
      <c r="E53" s="55"/>
      <c r="F53" s="75"/>
      <c r="G53" s="58"/>
      <c r="H53" s="58"/>
      <c r="I53" s="62"/>
      <c r="AH53" s="39"/>
      <c r="AI53" s="38"/>
      <c r="AJ53" s="99"/>
    </row>
    <row r="54" spans="1:36" ht="18.5" x14ac:dyDescent="0.65">
      <c r="A54" s="2"/>
      <c r="B54" s="50"/>
      <c r="C54" s="70"/>
      <c r="D54" s="55"/>
      <c r="E54" s="55"/>
      <c r="F54" s="75"/>
      <c r="G54" s="58"/>
      <c r="H54" s="58"/>
      <c r="I54" s="62"/>
      <c r="AH54" s="39"/>
      <c r="AI54" s="38"/>
      <c r="AJ54" s="99"/>
    </row>
    <row r="55" spans="1:36" ht="18.5" x14ac:dyDescent="0.65">
      <c r="A55" s="2"/>
      <c r="B55" s="50"/>
      <c r="C55" s="70"/>
      <c r="D55" s="55"/>
      <c r="E55" s="55"/>
      <c r="F55" s="75"/>
      <c r="G55" s="58"/>
      <c r="H55" s="58"/>
      <c r="I55" s="62"/>
      <c r="AH55" s="39"/>
      <c r="AI55" s="38"/>
      <c r="AJ55" s="99"/>
    </row>
    <row r="56" spans="1:36" ht="18.5" x14ac:dyDescent="0.65">
      <c r="A56" s="2"/>
      <c r="B56" s="50"/>
      <c r="C56" s="70"/>
      <c r="D56" s="55"/>
      <c r="E56" s="55"/>
      <c r="F56" s="75"/>
      <c r="G56" s="58"/>
      <c r="H56" s="58"/>
      <c r="I56" s="62"/>
      <c r="AH56" s="39"/>
      <c r="AI56" s="38"/>
      <c r="AJ56" s="99"/>
    </row>
    <row r="57" spans="1:36" ht="18.5" x14ac:dyDescent="0.65">
      <c r="A57" s="2"/>
      <c r="B57" s="50"/>
      <c r="C57" s="70"/>
      <c r="D57" s="55"/>
      <c r="E57" s="55"/>
      <c r="F57" s="75"/>
      <c r="G57" s="58"/>
      <c r="H57" s="58"/>
      <c r="I57" s="62"/>
      <c r="AH57" s="39"/>
      <c r="AI57" s="38"/>
      <c r="AJ57" s="99"/>
    </row>
    <row r="58" spans="1:36" ht="18.5" x14ac:dyDescent="0.65">
      <c r="A58" s="2"/>
      <c r="B58" s="50"/>
      <c r="C58" s="70"/>
      <c r="D58" s="55"/>
      <c r="E58" s="55"/>
      <c r="F58" s="75"/>
      <c r="G58" s="58"/>
      <c r="H58" s="58"/>
      <c r="I58" s="62"/>
      <c r="AH58" s="39"/>
      <c r="AI58" s="38"/>
      <c r="AJ58" s="99"/>
    </row>
    <row r="59" spans="1:36" ht="18.5" x14ac:dyDescent="0.65">
      <c r="A59" s="2"/>
      <c r="B59" s="50"/>
      <c r="C59" s="70"/>
      <c r="D59" s="55"/>
      <c r="E59" s="55"/>
      <c r="F59" s="75"/>
      <c r="G59" s="58"/>
      <c r="H59" s="58"/>
      <c r="I59" s="62"/>
      <c r="AH59" s="39"/>
      <c r="AI59" s="38"/>
      <c r="AJ59" s="99"/>
    </row>
    <row r="60" spans="1:36" ht="18.5" x14ac:dyDescent="0.65">
      <c r="A60" s="2"/>
      <c r="B60" s="50"/>
      <c r="C60" s="70"/>
      <c r="D60" s="55"/>
      <c r="E60" s="55"/>
      <c r="F60" s="75"/>
      <c r="G60" s="58"/>
      <c r="H60" s="58"/>
      <c r="I60" s="62"/>
      <c r="AH60" s="39"/>
      <c r="AI60" s="38"/>
      <c r="AJ60" s="99"/>
    </row>
    <row r="61" spans="1:36" ht="18.5" x14ac:dyDescent="0.65">
      <c r="A61" s="2"/>
      <c r="B61" s="50"/>
      <c r="C61" s="70"/>
      <c r="D61" s="55"/>
      <c r="E61" s="55"/>
      <c r="F61" s="75"/>
      <c r="G61" s="58"/>
      <c r="H61" s="58"/>
      <c r="I61" s="62"/>
      <c r="AH61" s="39"/>
      <c r="AI61" s="38"/>
      <c r="AJ61" s="99"/>
    </row>
    <row r="62" spans="1:36" ht="18.5" x14ac:dyDescent="0.65">
      <c r="A62" s="2"/>
      <c r="B62" s="50"/>
      <c r="C62" s="70"/>
      <c r="D62" s="55"/>
      <c r="E62" s="55"/>
      <c r="F62" s="75"/>
      <c r="G62" s="58"/>
      <c r="H62" s="58"/>
      <c r="I62" s="62"/>
      <c r="AH62" s="39"/>
      <c r="AI62" s="38"/>
      <c r="AJ62" s="99"/>
    </row>
    <row r="63" spans="1:36" ht="18.5" x14ac:dyDescent="0.65">
      <c r="A63" s="2"/>
      <c r="B63" s="50"/>
      <c r="C63" s="70"/>
      <c r="D63" s="55"/>
      <c r="E63" s="55"/>
      <c r="F63" s="75"/>
      <c r="G63" s="58"/>
      <c r="H63" s="58"/>
      <c r="I63" s="62"/>
      <c r="AH63" s="39"/>
      <c r="AI63" s="38"/>
      <c r="AJ63" s="99"/>
    </row>
    <row r="64" spans="1:36" ht="18.5" x14ac:dyDescent="0.65">
      <c r="A64" s="2"/>
      <c r="B64" s="50"/>
      <c r="C64" s="70"/>
      <c r="D64" s="55"/>
      <c r="E64" s="55"/>
      <c r="F64" s="75"/>
      <c r="G64" s="58"/>
      <c r="H64" s="58"/>
      <c r="I64" s="62"/>
      <c r="AH64" s="39"/>
      <c r="AI64" s="38"/>
      <c r="AJ64" s="99"/>
    </row>
    <row r="65" spans="1:36" ht="18.5" x14ac:dyDescent="0.65">
      <c r="A65" s="2"/>
      <c r="B65" s="50"/>
      <c r="C65" s="70"/>
      <c r="D65" s="55"/>
      <c r="E65" s="55"/>
      <c r="F65" s="75"/>
      <c r="G65" s="58"/>
      <c r="H65" s="58"/>
      <c r="I65" s="62"/>
      <c r="AH65" s="39"/>
      <c r="AI65" s="38"/>
      <c r="AJ65" s="99"/>
    </row>
    <row r="66" spans="1:36" ht="18.5" x14ac:dyDescent="0.65">
      <c r="A66" s="2"/>
      <c r="B66" s="50"/>
      <c r="C66" s="70"/>
      <c r="D66" s="55"/>
      <c r="E66" s="55"/>
      <c r="F66" s="75"/>
      <c r="G66" s="58"/>
      <c r="H66" s="58"/>
      <c r="I66" s="62"/>
      <c r="AH66" s="39"/>
      <c r="AI66" s="38"/>
      <c r="AJ66" s="99"/>
    </row>
    <row r="67" spans="1:36" ht="18.5" x14ac:dyDescent="0.65">
      <c r="A67" s="2"/>
      <c r="B67" s="50"/>
      <c r="C67" s="70"/>
      <c r="D67" s="55"/>
      <c r="E67" s="55"/>
      <c r="F67" s="75"/>
      <c r="G67" s="58"/>
      <c r="H67" s="58"/>
      <c r="I67" s="62"/>
      <c r="AH67" s="39"/>
      <c r="AI67" s="38"/>
      <c r="AJ67" s="99"/>
    </row>
    <row r="68" spans="1:36" ht="18.5" x14ac:dyDescent="0.65">
      <c r="A68" s="2"/>
      <c r="B68" s="50"/>
      <c r="C68" s="70"/>
      <c r="D68" s="55"/>
      <c r="E68" s="55"/>
      <c r="F68" s="75"/>
      <c r="G68" s="58"/>
      <c r="H68" s="58"/>
      <c r="I68" s="62"/>
      <c r="AH68" s="39"/>
      <c r="AI68" s="38"/>
      <c r="AJ68" s="99"/>
    </row>
    <row r="69" spans="1:36" ht="18.5" x14ac:dyDescent="0.65">
      <c r="A69" s="2"/>
      <c r="B69" s="50"/>
      <c r="C69" s="70"/>
      <c r="D69" s="55"/>
      <c r="E69" s="55"/>
      <c r="F69" s="75"/>
      <c r="G69" s="58"/>
      <c r="H69" s="58"/>
      <c r="I69" s="62"/>
      <c r="AH69" s="39"/>
      <c r="AI69" s="38"/>
      <c r="AJ69" s="99"/>
    </row>
    <row r="70" spans="1:36" ht="18.5" x14ac:dyDescent="0.65">
      <c r="A70" s="2"/>
      <c r="B70" s="50"/>
      <c r="C70" s="70"/>
      <c r="D70" s="55"/>
      <c r="E70" s="55"/>
      <c r="F70" s="75"/>
      <c r="G70" s="58"/>
      <c r="H70" s="58"/>
      <c r="I70" s="62"/>
      <c r="AH70" s="39"/>
      <c r="AI70" s="38"/>
      <c r="AJ70" s="99"/>
    </row>
    <row r="71" spans="1:36" ht="18.5" x14ac:dyDescent="0.65">
      <c r="A71" s="2"/>
      <c r="B71" s="50"/>
      <c r="C71" s="70"/>
      <c r="D71" s="55"/>
      <c r="E71" s="55"/>
      <c r="F71" s="75"/>
      <c r="G71" s="58"/>
      <c r="H71" s="58"/>
      <c r="I71" s="62"/>
      <c r="AH71" s="39"/>
      <c r="AI71" s="38"/>
      <c r="AJ71" s="99"/>
    </row>
    <row r="72" spans="1:36" ht="18.5" x14ac:dyDescent="0.65">
      <c r="A72" s="2"/>
      <c r="B72" s="50"/>
      <c r="C72" s="70"/>
      <c r="D72" s="55"/>
      <c r="E72" s="55"/>
      <c r="F72" s="75"/>
      <c r="G72" s="58"/>
      <c r="H72" s="58"/>
      <c r="I72" s="62"/>
      <c r="AH72" s="39"/>
      <c r="AI72" s="38"/>
      <c r="AJ72" s="99"/>
    </row>
    <row r="73" spans="1:36" ht="18.5" x14ac:dyDescent="0.65">
      <c r="A73" s="2"/>
      <c r="B73" s="50"/>
      <c r="C73" s="70"/>
      <c r="D73" s="55"/>
      <c r="E73" s="55"/>
      <c r="F73" s="75"/>
      <c r="G73" s="58"/>
      <c r="H73" s="58"/>
      <c r="I73" s="62"/>
      <c r="AH73" s="39"/>
      <c r="AI73" s="38"/>
      <c r="AJ73" s="99"/>
    </row>
    <row r="74" spans="1:36" ht="18.5" x14ac:dyDescent="0.65">
      <c r="A74" s="2"/>
      <c r="B74" s="50"/>
      <c r="C74" s="70"/>
      <c r="D74" s="55"/>
      <c r="E74" s="55"/>
      <c r="F74" s="75"/>
      <c r="G74" s="58"/>
      <c r="H74" s="58"/>
      <c r="I74" s="62"/>
      <c r="AH74" s="39"/>
      <c r="AI74" s="38"/>
      <c r="AJ74" s="99"/>
    </row>
    <row r="75" spans="1:36" ht="18.5" x14ac:dyDescent="0.65">
      <c r="A75" s="2"/>
      <c r="B75" s="50"/>
      <c r="C75" s="70"/>
      <c r="D75" s="55"/>
      <c r="E75" s="55"/>
      <c r="F75" s="75"/>
      <c r="G75" s="58"/>
      <c r="H75" s="58"/>
      <c r="I75" s="62"/>
      <c r="AH75" s="39"/>
      <c r="AI75" s="38"/>
      <c r="AJ75" s="99"/>
    </row>
    <row r="76" spans="1:36" ht="18.5" x14ac:dyDescent="0.65">
      <c r="A76" s="2"/>
      <c r="B76" s="50"/>
      <c r="C76" s="70"/>
      <c r="D76" s="55"/>
      <c r="E76" s="55"/>
      <c r="F76" s="75"/>
      <c r="G76" s="58"/>
      <c r="H76" s="58"/>
      <c r="I76" s="62"/>
      <c r="AH76" s="39"/>
      <c r="AI76" s="38"/>
      <c r="AJ76" s="99"/>
    </row>
    <row r="77" spans="1:36" ht="18.5" x14ac:dyDescent="0.65">
      <c r="A77" s="2"/>
      <c r="B77" s="50"/>
      <c r="C77" s="70"/>
      <c r="D77" s="55"/>
      <c r="E77" s="55"/>
      <c r="F77" s="75"/>
      <c r="G77" s="58"/>
      <c r="H77" s="58"/>
      <c r="I77" s="62"/>
      <c r="AH77" s="39"/>
      <c r="AI77" s="38"/>
      <c r="AJ77" s="99"/>
    </row>
    <row r="78" spans="1:36" ht="18.5" x14ac:dyDescent="0.65">
      <c r="A78" s="2"/>
      <c r="B78" s="50"/>
      <c r="C78" s="70"/>
      <c r="D78" s="55"/>
      <c r="E78" s="55"/>
      <c r="F78" s="75"/>
      <c r="G78" s="58"/>
      <c r="H78" s="58"/>
      <c r="I78" s="62"/>
      <c r="AH78" s="39"/>
      <c r="AI78" s="38"/>
      <c r="AJ78" s="99"/>
    </row>
    <row r="79" spans="1:36" ht="18.5" x14ac:dyDescent="0.65">
      <c r="A79" s="2"/>
      <c r="B79" s="50"/>
      <c r="C79" s="70"/>
      <c r="D79" s="55"/>
      <c r="E79" s="55"/>
      <c r="F79" s="75"/>
      <c r="G79" s="58"/>
      <c r="H79" s="58"/>
      <c r="I79" s="62"/>
      <c r="AH79" s="39"/>
      <c r="AI79" s="38"/>
      <c r="AJ79" s="99"/>
    </row>
    <row r="80" spans="1:36" ht="18.5" x14ac:dyDescent="0.65">
      <c r="A80" s="2"/>
      <c r="B80" s="50"/>
      <c r="C80" s="70"/>
      <c r="D80" s="55"/>
      <c r="E80" s="55"/>
      <c r="F80" s="75"/>
      <c r="G80" s="58"/>
      <c r="H80" s="58"/>
      <c r="I80" s="62"/>
      <c r="AH80" s="39"/>
      <c r="AI80" s="38"/>
      <c r="AJ80" s="99"/>
    </row>
    <row r="81" spans="1:36" ht="18.5" x14ac:dyDescent="0.65">
      <c r="A81" s="2"/>
      <c r="B81" s="50"/>
      <c r="C81" s="70"/>
      <c r="D81" s="55"/>
      <c r="E81" s="55"/>
      <c r="F81" s="75"/>
      <c r="G81" s="58"/>
      <c r="H81" s="58"/>
      <c r="I81" s="62"/>
      <c r="AH81" s="39"/>
      <c r="AI81" s="38"/>
      <c r="AJ81" s="99"/>
    </row>
    <row r="82" spans="1:36" ht="18.5" x14ac:dyDescent="0.65">
      <c r="A82" s="2"/>
      <c r="B82" s="50"/>
      <c r="C82" s="70"/>
      <c r="D82" s="55"/>
      <c r="E82" s="55"/>
      <c r="F82" s="75"/>
      <c r="G82" s="58"/>
      <c r="H82" s="58"/>
      <c r="I82" s="62"/>
      <c r="AH82" s="39"/>
      <c r="AI82" s="38"/>
      <c r="AJ82" s="99"/>
    </row>
    <row r="83" spans="1:36" ht="18.5" x14ac:dyDescent="0.65">
      <c r="A83" s="2"/>
      <c r="B83" s="50"/>
      <c r="C83" s="70"/>
      <c r="D83" s="55"/>
      <c r="E83" s="55"/>
      <c r="F83" s="75"/>
      <c r="G83" s="58"/>
      <c r="H83" s="58"/>
      <c r="I83" s="62"/>
      <c r="AH83" s="39"/>
      <c r="AI83" s="38"/>
      <c r="AJ83" s="99"/>
    </row>
    <row r="84" spans="1:36" ht="18.5" x14ac:dyDescent="0.65">
      <c r="A84" s="2"/>
      <c r="B84" s="50"/>
      <c r="C84" s="70"/>
      <c r="D84" s="55"/>
      <c r="E84" s="55"/>
      <c r="F84" s="75"/>
      <c r="G84" s="58"/>
      <c r="H84" s="58"/>
      <c r="I84" s="62"/>
      <c r="AH84" s="39"/>
      <c r="AI84" s="38"/>
      <c r="AJ84" s="99"/>
    </row>
    <row r="85" spans="1:36" ht="18.5" x14ac:dyDescent="0.65">
      <c r="A85" s="2"/>
      <c r="B85" s="50"/>
      <c r="C85" s="70"/>
      <c r="D85" s="55"/>
      <c r="E85" s="55"/>
      <c r="F85" s="75"/>
      <c r="G85" s="58"/>
      <c r="H85" s="58"/>
      <c r="I85" s="62"/>
      <c r="AH85" s="39"/>
      <c r="AI85" s="38"/>
      <c r="AJ85" s="99"/>
    </row>
    <row r="86" spans="1:36" ht="18.5" x14ac:dyDescent="0.65">
      <c r="A86" s="2"/>
      <c r="B86" s="50"/>
      <c r="C86" s="70"/>
      <c r="D86" s="55"/>
      <c r="E86" s="55"/>
      <c r="F86" s="75"/>
      <c r="G86" s="58"/>
      <c r="H86" s="58"/>
      <c r="I86" s="62"/>
      <c r="AH86" s="39"/>
      <c r="AI86" s="38"/>
      <c r="AJ86" s="99"/>
    </row>
    <row r="87" spans="1:36" ht="18.5" x14ac:dyDescent="0.65">
      <c r="A87" s="2"/>
      <c r="B87" s="50"/>
      <c r="C87" s="70"/>
      <c r="D87" s="55"/>
      <c r="E87" s="55"/>
      <c r="F87" s="75"/>
      <c r="G87" s="58"/>
      <c r="H87" s="58"/>
      <c r="I87" s="62"/>
      <c r="AH87" s="39"/>
      <c r="AI87" s="38"/>
      <c r="AJ87" s="99"/>
    </row>
    <row r="88" spans="1:36" ht="18.5" x14ac:dyDescent="0.65">
      <c r="A88" s="2"/>
      <c r="B88" s="50"/>
      <c r="C88" s="70"/>
      <c r="D88" s="55"/>
      <c r="E88" s="55"/>
      <c r="F88" s="75"/>
      <c r="G88" s="58"/>
      <c r="H88" s="58"/>
      <c r="I88" s="62"/>
      <c r="AH88" s="39"/>
      <c r="AI88" s="38"/>
      <c r="AJ88" s="99"/>
    </row>
    <row r="89" spans="1:36" ht="18.5" x14ac:dyDescent="0.65">
      <c r="A89" s="2"/>
      <c r="B89" s="50"/>
      <c r="C89" s="70"/>
      <c r="D89" s="55"/>
      <c r="E89" s="55"/>
      <c r="F89" s="75"/>
      <c r="G89" s="58"/>
      <c r="H89" s="58"/>
      <c r="I89" s="62"/>
      <c r="AH89" s="39"/>
      <c r="AI89" s="38"/>
      <c r="AJ89" s="99"/>
    </row>
    <row r="90" spans="1:36" ht="18.5" x14ac:dyDescent="0.65">
      <c r="A90" s="2"/>
      <c r="B90" s="50"/>
      <c r="C90" s="70"/>
      <c r="D90" s="55"/>
      <c r="E90" s="55"/>
      <c r="F90" s="75"/>
      <c r="G90" s="58"/>
      <c r="H90" s="58"/>
      <c r="I90" s="62"/>
      <c r="AH90" s="39"/>
      <c r="AI90" s="38"/>
      <c r="AJ90" s="99"/>
    </row>
    <row r="91" spans="1:36" ht="17" x14ac:dyDescent="0.6">
      <c r="A91" s="2"/>
      <c r="B91" s="50"/>
      <c r="C91" s="70"/>
      <c r="D91" s="55"/>
      <c r="E91" s="55"/>
      <c r="F91" s="75"/>
      <c r="G91" s="58"/>
      <c r="H91" s="58"/>
      <c r="I91" s="62"/>
      <c r="AH91" s="40"/>
    </row>
    <row r="92" spans="1:36" ht="17" x14ac:dyDescent="0.6">
      <c r="A92" s="2"/>
      <c r="B92" s="50"/>
      <c r="C92" s="70"/>
      <c r="D92" s="55"/>
      <c r="E92" s="55"/>
      <c r="F92" s="75"/>
      <c r="G92" s="58"/>
      <c r="H92" s="58"/>
      <c r="I92" s="62"/>
      <c r="AH92" s="40"/>
    </row>
    <row r="93" spans="1:36" x14ac:dyDescent="0.35">
      <c r="A93" s="2"/>
      <c r="B93" s="50"/>
      <c r="C93" s="70"/>
      <c r="D93" s="55"/>
      <c r="E93" s="55"/>
      <c r="F93" s="75"/>
      <c r="G93" s="58"/>
      <c r="H93" s="58"/>
      <c r="I93" s="62"/>
    </row>
    <row r="94" spans="1:36" x14ac:dyDescent="0.35">
      <c r="A94" s="2"/>
      <c r="B94" s="50"/>
      <c r="C94" s="70"/>
      <c r="D94" s="55"/>
      <c r="E94" s="55"/>
      <c r="F94" s="75"/>
      <c r="G94" s="58"/>
      <c r="H94" s="58"/>
      <c r="I94" s="62"/>
    </row>
    <row r="95" spans="1:36" x14ac:dyDescent="0.35">
      <c r="A95" s="2"/>
      <c r="B95" s="50"/>
      <c r="C95" s="70"/>
      <c r="D95" s="55"/>
      <c r="E95" s="55"/>
      <c r="F95" s="75"/>
      <c r="G95" s="58"/>
      <c r="H95" s="58"/>
      <c r="I95" s="62"/>
    </row>
    <row r="96" spans="1:36" x14ac:dyDescent="0.35">
      <c r="A96" s="2"/>
      <c r="B96" s="50"/>
      <c r="C96" s="70"/>
      <c r="D96" s="55"/>
      <c r="E96" s="55"/>
      <c r="F96" s="75"/>
      <c r="G96" s="58"/>
      <c r="H96" s="58"/>
      <c r="I96" s="62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DCC7E-FBFD-441C-93F6-942F526AE14E}">
  <dimension ref="A1:AJ96"/>
  <sheetViews>
    <sheetView tabSelected="1" workbookViewId="0">
      <pane xSplit="1" topLeftCell="B1" activePane="topRight" state="frozen"/>
      <selection pane="topRight" activeCell="AH18" sqref="AH18"/>
    </sheetView>
  </sheetViews>
  <sheetFormatPr defaultRowHeight="14.5" x14ac:dyDescent="0.35"/>
  <cols>
    <col min="1" max="1" width="24.36328125" customWidth="1"/>
    <col min="2" max="2" width="14.6328125" style="51" customWidth="1"/>
    <col min="3" max="3" width="13.08984375" style="71" customWidth="1"/>
    <col min="4" max="5" width="13.90625" style="56" customWidth="1"/>
    <col min="6" max="6" width="13.453125" style="76" customWidth="1"/>
    <col min="7" max="7" width="14.36328125" style="15" customWidth="1"/>
    <col min="8" max="8" width="13.36328125" style="15" customWidth="1"/>
    <col min="9" max="9" width="14.36328125" style="63" customWidth="1"/>
    <col min="10" max="10" width="14.453125" style="51" customWidth="1"/>
    <col min="11" max="11" width="14.26953125" style="51" customWidth="1"/>
    <col min="12" max="12" width="14" style="26" customWidth="1"/>
    <col min="13" max="13" width="13.36328125" style="26" customWidth="1"/>
    <col min="14" max="17" width="8.81640625" bestFit="1" customWidth="1"/>
    <col min="18" max="18" width="8.81640625" style="10" customWidth="1"/>
    <col min="19" max="20" width="8.81640625" style="15" bestFit="1" customWidth="1"/>
    <col min="21" max="21" width="8.81640625" style="15" customWidth="1"/>
    <col min="22" max="22" width="8.81640625" style="15" bestFit="1" customWidth="1"/>
    <col min="23" max="23" width="8.81640625" style="10" customWidth="1"/>
    <col min="24" max="24" width="10.08984375" style="20" bestFit="1" customWidth="1"/>
    <col min="25" max="25" width="8.81640625" style="20" bestFit="1" customWidth="1"/>
    <col min="26" max="26" width="8.81640625" style="20" customWidth="1"/>
    <col min="27" max="27" width="8.81640625" style="20" bestFit="1" customWidth="1"/>
    <col min="28" max="28" width="8.81640625" style="10" customWidth="1"/>
    <col min="29" max="30" width="8.81640625" style="26" bestFit="1" customWidth="1"/>
    <col min="31" max="31" width="10.08984375" style="26" bestFit="1" customWidth="1"/>
    <col min="32" max="32" width="10.08984375" style="10" customWidth="1"/>
    <col min="33" max="33" width="10.08984375" style="31" bestFit="1" customWidth="1"/>
    <col min="34" max="35" width="8.7265625" style="31"/>
    <col min="36" max="36" width="8.7265625" style="100"/>
  </cols>
  <sheetData>
    <row r="1" spans="1:36" s="10" customFormat="1" ht="85" x14ac:dyDescent="0.35">
      <c r="A1" s="6" t="s">
        <v>1</v>
      </c>
      <c r="B1" s="47" t="s">
        <v>32</v>
      </c>
      <c r="C1" s="67" t="s">
        <v>36</v>
      </c>
      <c r="D1" s="52" t="s">
        <v>31</v>
      </c>
      <c r="E1" s="52" t="s">
        <v>30</v>
      </c>
      <c r="F1" s="72" t="s">
        <v>35</v>
      </c>
      <c r="G1" s="16" t="s">
        <v>33</v>
      </c>
      <c r="H1" s="16" t="s">
        <v>34</v>
      </c>
      <c r="I1" s="59" t="s">
        <v>27</v>
      </c>
      <c r="J1" s="64" t="s">
        <v>29</v>
      </c>
      <c r="K1" s="64" t="s">
        <v>28</v>
      </c>
      <c r="L1" s="11" t="s">
        <v>37</v>
      </c>
      <c r="M1" s="11" t="s">
        <v>38</v>
      </c>
      <c r="N1" s="6" t="s">
        <v>39</v>
      </c>
      <c r="O1" s="6" t="s">
        <v>40</v>
      </c>
      <c r="P1" s="6" t="s">
        <v>41</v>
      </c>
      <c r="Q1" s="6" t="s">
        <v>42</v>
      </c>
      <c r="R1" s="6" t="s">
        <v>23</v>
      </c>
      <c r="S1" s="16" t="s">
        <v>43</v>
      </c>
      <c r="T1" s="16" t="s">
        <v>44</v>
      </c>
      <c r="U1" s="16" t="s">
        <v>61</v>
      </c>
      <c r="V1" s="16" t="s">
        <v>45</v>
      </c>
      <c r="W1" s="7" t="s">
        <v>23</v>
      </c>
      <c r="X1" s="21" t="s">
        <v>46</v>
      </c>
      <c r="Y1" s="21" t="s">
        <v>47</v>
      </c>
      <c r="Z1" s="21" t="s">
        <v>62</v>
      </c>
      <c r="AA1" s="21" t="s">
        <v>48</v>
      </c>
      <c r="AB1" s="7" t="s">
        <v>23</v>
      </c>
      <c r="AC1" s="11" t="s">
        <v>49</v>
      </c>
      <c r="AD1" s="11" t="s">
        <v>50</v>
      </c>
      <c r="AE1" s="11" t="s">
        <v>51</v>
      </c>
      <c r="AF1" s="7" t="s">
        <v>23</v>
      </c>
      <c r="AG1" s="32" t="s">
        <v>52</v>
      </c>
      <c r="AH1" s="32" t="s">
        <v>53</v>
      </c>
      <c r="AI1" s="32" t="s">
        <v>54</v>
      </c>
      <c r="AJ1" s="94" t="s">
        <v>23</v>
      </c>
    </row>
    <row r="2" spans="1:36" ht="18.5" x14ac:dyDescent="0.65">
      <c r="A2" s="3" t="s">
        <v>18</v>
      </c>
      <c r="B2" s="48">
        <v>1154042</v>
      </c>
      <c r="C2" s="68">
        <f t="shared" ref="C2:C10" si="0">SUM(D2:E2)</f>
        <v>64533</v>
      </c>
      <c r="D2" s="53">
        <v>47460</v>
      </c>
      <c r="E2" s="53">
        <v>17073</v>
      </c>
      <c r="F2" s="73">
        <f t="shared" ref="F2:F10" si="1">SUM(G2:H2)</f>
        <v>10278</v>
      </c>
      <c r="G2" s="17">
        <v>1714</v>
      </c>
      <c r="H2" s="17">
        <v>8564</v>
      </c>
      <c r="I2" s="60">
        <f t="shared" ref="I2:I10" si="2">SUM(J2:K2)</f>
        <v>30224</v>
      </c>
      <c r="J2" s="48">
        <v>13297</v>
      </c>
      <c r="K2" s="48">
        <v>16927</v>
      </c>
      <c r="L2" s="27">
        <v>16370</v>
      </c>
      <c r="M2" s="27">
        <v>557</v>
      </c>
      <c r="N2" s="13">
        <v>14167</v>
      </c>
      <c r="O2" s="13">
        <v>2167</v>
      </c>
      <c r="P2" s="13">
        <v>36</v>
      </c>
      <c r="Q2" s="13">
        <v>557</v>
      </c>
      <c r="R2" s="88">
        <f>SUM(N2:Q2)</f>
        <v>16927</v>
      </c>
      <c r="S2" s="17">
        <v>16904</v>
      </c>
      <c r="T2" s="17">
        <v>12</v>
      </c>
      <c r="U2" s="17">
        <v>0</v>
      </c>
      <c r="V2" s="17">
        <v>11</v>
      </c>
      <c r="W2" s="88">
        <f>SUM(S2:V2)</f>
        <v>16927</v>
      </c>
      <c r="X2" s="22">
        <v>16898</v>
      </c>
      <c r="Y2" s="23">
        <v>18</v>
      </c>
      <c r="Z2" s="23">
        <v>0</v>
      </c>
      <c r="AA2" s="23">
        <v>11</v>
      </c>
      <c r="AB2" s="88">
        <f>SUM(X2:AA2)</f>
        <v>16927</v>
      </c>
      <c r="AC2" s="27">
        <v>484</v>
      </c>
      <c r="AD2" s="27">
        <v>16432</v>
      </c>
      <c r="AE2" s="28">
        <v>11</v>
      </c>
      <c r="AF2" s="87">
        <f>SUM(AC2:AE2)</f>
        <v>16927</v>
      </c>
      <c r="AG2" s="33">
        <v>16353</v>
      </c>
      <c r="AH2" s="34">
        <v>31</v>
      </c>
      <c r="AI2" s="33">
        <v>543</v>
      </c>
      <c r="AJ2" s="95">
        <f>SUM(AG2:AI2)</f>
        <v>16927</v>
      </c>
    </row>
    <row r="3" spans="1:36" ht="18.5" x14ac:dyDescent="0.65">
      <c r="A3" s="3" t="s">
        <v>6</v>
      </c>
      <c r="B3" s="48">
        <v>689802</v>
      </c>
      <c r="C3" s="68">
        <f t="shared" si="0"/>
        <v>23990</v>
      </c>
      <c r="D3" s="53">
        <v>22233</v>
      </c>
      <c r="E3" s="53">
        <v>1757</v>
      </c>
      <c r="F3" s="73">
        <f t="shared" si="1"/>
        <v>31078</v>
      </c>
      <c r="G3" s="17">
        <v>14448</v>
      </c>
      <c r="H3" s="17">
        <v>16630</v>
      </c>
      <c r="I3" s="60">
        <f t="shared" si="2"/>
        <v>20130</v>
      </c>
      <c r="J3" s="65">
        <v>11711</v>
      </c>
      <c r="K3" s="65">
        <v>8419</v>
      </c>
      <c r="L3" s="28">
        <v>8312</v>
      </c>
      <c r="M3" s="28">
        <v>107</v>
      </c>
      <c r="N3" s="14">
        <v>6094</v>
      </c>
      <c r="O3" s="14">
        <v>2182</v>
      </c>
      <c r="P3" s="14">
        <v>36</v>
      </c>
      <c r="Q3" s="14">
        <v>107</v>
      </c>
      <c r="R3" s="87">
        <f>SUM(N3:Q3)</f>
        <v>8419</v>
      </c>
      <c r="S3" s="18">
        <v>8395</v>
      </c>
      <c r="T3" s="18">
        <v>18</v>
      </c>
      <c r="U3" s="18">
        <v>0</v>
      </c>
      <c r="V3" s="18">
        <v>6</v>
      </c>
      <c r="W3" s="88">
        <f>SUM(S3:V3)</f>
        <v>8419</v>
      </c>
      <c r="X3" s="22">
        <v>8404</v>
      </c>
      <c r="Y3" s="22">
        <v>9</v>
      </c>
      <c r="Z3" s="22">
        <v>0</v>
      </c>
      <c r="AA3" s="22">
        <v>6</v>
      </c>
      <c r="AB3" s="87">
        <f>SUM(X3:AA3)</f>
        <v>8419</v>
      </c>
      <c r="AC3" s="28">
        <v>7110</v>
      </c>
      <c r="AD3" s="28">
        <v>1303</v>
      </c>
      <c r="AE3" s="28">
        <v>6</v>
      </c>
      <c r="AF3" s="87">
        <f>SUM(AC3:AE3)</f>
        <v>8419</v>
      </c>
      <c r="AG3" s="33">
        <v>7862</v>
      </c>
      <c r="AH3" s="33">
        <v>25</v>
      </c>
      <c r="AI3" s="33">
        <v>532</v>
      </c>
      <c r="AJ3" s="95">
        <f>SUM(AG3:AI3)</f>
        <v>8419</v>
      </c>
    </row>
    <row r="4" spans="1:36" ht="34" x14ac:dyDescent="0.35">
      <c r="A4" s="4" t="s">
        <v>9</v>
      </c>
      <c r="B4" s="48">
        <v>24672</v>
      </c>
      <c r="C4" s="68">
        <f t="shared" si="0"/>
        <v>1578</v>
      </c>
      <c r="D4" s="53">
        <v>555</v>
      </c>
      <c r="E4" s="53">
        <v>1023</v>
      </c>
      <c r="F4" s="73">
        <f t="shared" si="1"/>
        <v>2308</v>
      </c>
      <c r="G4" s="17">
        <v>153</v>
      </c>
      <c r="H4" s="17">
        <v>2155</v>
      </c>
      <c r="I4" s="60">
        <f t="shared" si="2"/>
        <v>1390</v>
      </c>
      <c r="J4" s="48">
        <v>919</v>
      </c>
      <c r="K4" s="48">
        <v>471</v>
      </c>
      <c r="L4" s="27">
        <v>429</v>
      </c>
      <c r="M4" s="27">
        <v>42</v>
      </c>
      <c r="N4" s="13">
        <v>304</v>
      </c>
      <c r="O4" s="13">
        <v>119</v>
      </c>
      <c r="P4" s="13">
        <v>6</v>
      </c>
      <c r="Q4" s="13">
        <v>42</v>
      </c>
      <c r="R4" s="88">
        <f>SUM(N4:Q4)</f>
        <v>471</v>
      </c>
      <c r="S4" s="17">
        <v>468</v>
      </c>
      <c r="T4" s="17">
        <v>0</v>
      </c>
      <c r="U4" s="17">
        <v>0</v>
      </c>
      <c r="V4" s="17">
        <v>3</v>
      </c>
      <c r="W4" s="88">
        <f t="shared" ref="W4:W10" si="3">SUM(S4:V4)</f>
        <v>471</v>
      </c>
      <c r="X4" s="23">
        <v>467</v>
      </c>
      <c r="Y4" s="23">
        <v>1</v>
      </c>
      <c r="Z4" s="23">
        <v>0</v>
      </c>
      <c r="AA4" s="23">
        <v>3</v>
      </c>
      <c r="AB4" s="88">
        <f t="shared" ref="AB4:AB10" si="4">SUM(X4:AA4)</f>
        <v>471</v>
      </c>
      <c r="AC4" s="27">
        <v>404</v>
      </c>
      <c r="AD4" s="27">
        <v>64</v>
      </c>
      <c r="AE4" s="27">
        <v>3</v>
      </c>
      <c r="AF4" s="88">
        <f t="shared" ref="AF4:AF10" si="5">SUM(AC4:AE4)</f>
        <v>471</v>
      </c>
      <c r="AG4" s="35">
        <v>271</v>
      </c>
      <c r="AH4" s="35">
        <v>8</v>
      </c>
      <c r="AI4" s="35">
        <v>192</v>
      </c>
      <c r="AJ4" s="101">
        <f t="shared" ref="AJ4:AJ10" si="6">SUM(AG4:AI4)</f>
        <v>471</v>
      </c>
    </row>
    <row r="5" spans="1:36" ht="18.5" x14ac:dyDescent="0.35">
      <c r="A5" s="3" t="s">
        <v>11</v>
      </c>
      <c r="B5" s="48">
        <v>53151</v>
      </c>
      <c r="C5" s="68">
        <f t="shared" si="0"/>
        <v>2310</v>
      </c>
      <c r="D5" s="53">
        <v>2083</v>
      </c>
      <c r="E5" s="53">
        <v>227</v>
      </c>
      <c r="F5" s="73">
        <f t="shared" si="1"/>
        <v>3039</v>
      </c>
      <c r="G5" s="17">
        <v>324</v>
      </c>
      <c r="H5" s="17">
        <v>2715</v>
      </c>
      <c r="I5" s="60">
        <f t="shared" si="2"/>
        <v>727</v>
      </c>
      <c r="J5" s="48">
        <v>352</v>
      </c>
      <c r="K5" s="48">
        <v>375</v>
      </c>
      <c r="L5" s="27">
        <v>371</v>
      </c>
      <c r="M5" s="27">
        <v>4</v>
      </c>
      <c r="N5" s="13">
        <v>322</v>
      </c>
      <c r="O5" s="13">
        <v>48</v>
      </c>
      <c r="P5" s="13">
        <v>1</v>
      </c>
      <c r="Q5" s="13">
        <v>4</v>
      </c>
      <c r="R5" s="88">
        <f>SUM(N5:Q5)</f>
        <v>375</v>
      </c>
      <c r="S5" s="17">
        <v>375</v>
      </c>
      <c r="T5" s="17">
        <v>0</v>
      </c>
      <c r="U5" s="17">
        <v>0</v>
      </c>
      <c r="V5" s="17">
        <v>0</v>
      </c>
      <c r="W5" s="88">
        <f t="shared" si="3"/>
        <v>375</v>
      </c>
      <c r="X5" s="23">
        <v>375</v>
      </c>
      <c r="Y5" s="23">
        <v>0</v>
      </c>
      <c r="Z5" s="23">
        <v>0</v>
      </c>
      <c r="AA5" s="23">
        <v>0</v>
      </c>
      <c r="AB5" s="87">
        <f t="shared" si="4"/>
        <v>375</v>
      </c>
      <c r="AC5" s="27">
        <v>80</v>
      </c>
      <c r="AD5" s="27">
        <v>295</v>
      </c>
      <c r="AE5" s="27">
        <v>0</v>
      </c>
      <c r="AF5" s="87">
        <f t="shared" si="5"/>
        <v>375</v>
      </c>
      <c r="AG5" s="35">
        <v>366</v>
      </c>
      <c r="AH5" s="34">
        <v>0</v>
      </c>
      <c r="AI5" s="35">
        <v>9</v>
      </c>
      <c r="AJ5" s="95">
        <f t="shared" si="6"/>
        <v>375</v>
      </c>
    </row>
    <row r="6" spans="1:36" ht="18.5" x14ac:dyDescent="0.35">
      <c r="A6" s="3" t="s">
        <v>21</v>
      </c>
      <c r="B6" s="48">
        <v>5435</v>
      </c>
      <c r="C6" s="68">
        <f t="shared" si="0"/>
        <v>313</v>
      </c>
      <c r="D6" s="53">
        <v>126</v>
      </c>
      <c r="E6" s="53">
        <v>187</v>
      </c>
      <c r="F6" s="73">
        <f t="shared" si="1"/>
        <v>172</v>
      </c>
      <c r="G6" s="17">
        <v>51</v>
      </c>
      <c r="H6" s="17">
        <v>121</v>
      </c>
      <c r="I6" s="60">
        <f t="shared" si="2"/>
        <v>229</v>
      </c>
      <c r="J6" s="48">
        <v>180</v>
      </c>
      <c r="K6" s="48">
        <v>49</v>
      </c>
      <c r="L6" s="27">
        <v>49</v>
      </c>
      <c r="M6" s="27">
        <v>0</v>
      </c>
      <c r="N6" s="13">
        <v>40</v>
      </c>
      <c r="O6" s="13">
        <v>9</v>
      </c>
      <c r="P6" s="13">
        <v>0</v>
      </c>
      <c r="Q6" s="13">
        <v>0</v>
      </c>
      <c r="R6" s="88">
        <f>SUM(N6:Q6)</f>
        <v>49</v>
      </c>
      <c r="S6" s="17">
        <v>49</v>
      </c>
      <c r="T6" s="17">
        <v>0</v>
      </c>
      <c r="U6" s="17">
        <v>0</v>
      </c>
      <c r="V6" s="17">
        <v>0</v>
      </c>
      <c r="W6" s="88">
        <f t="shared" si="3"/>
        <v>49</v>
      </c>
      <c r="X6" s="23">
        <v>49</v>
      </c>
      <c r="Y6" s="23">
        <v>0</v>
      </c>
      <c r="Z6" s="23">
        <v>0</v>
      </c>
      <c r="AA6" s="23">
        <v>0</v>
      </c>
      <c r="AB6" s="87">
        <f t="shared" si="4"/>
        <v>49</v>
      </c>
      <c r="AC6" s="27">
        <v>2</v>
      </c>
      <c r="AD6" s="27">
        <v>47</v>
      </c>
      <c r="AE6" s="27">
        <v>0</v>
      </c>
      <c r="AF6" s="87">
        <f t="shared" si="5"/>
        <v>49</v>
      </c>
      <c r="AG6" s="35">
        <v>49</v>
      </c>
      <c r="AH6" s="34">
        <v>0</v>
      </c>
      <c r="AI6" s="35">
        <v>0</v>
      </c>
      <c r="AJ6" s="95">
        <f t="shared" si="6"/>
        <v>49</v>
      </c>
    </row>
    <row r="7" spans="1:36" ht="18.5" x14ac:dyDescent="0.35">
      <c r="A7" s="3" t="s">
        <v>15</v>
      </c>
      <c r="B7" s="48">
        <v>1050</v>
      </c>
      <c r="C7" s="68">
        <f t="shared" si="0"/>
        <v>46</v>
      </c>
      <c r="D7" s="53">
        <v>35</v>
      </c>
      <c r="E7" s="53">
        <v>11</v>
      </c>
      <c r="F7" s="73">
        <f t="shared" si="1"/>
        <v>132</v>
      </c>
      <c r="G7" s="17">
        <v>15</v>
      </c>
      <c r="H7" s="17">
        <v>117</v>
      </c>
      <c r="I7" s="60">
        <f t="shared" si="2"/>
        <v>51</v>
      </c>
      <c r="J7" s="48">
        <v>38</v>
      </c>
      <c r="K7" s="48">
        <v>13</v>
      </c>
      <c r="L7" s="27">
        <v>13</v>
      </c>
      <c r="M7" s="27">
        <v>0</v>
      </c>
      <c r="N7" s="13">
        <v>11</v>
      </c>
      <c r="O7" s="13">
        <v>2</v>
      </c>
      <c r="P7" s="13">
        <v>0</v>
      </c>
      <c r="Q7" s="13">
        <v>0</v>
      </c>
      <c r="R7" s="88">
        <f>SUM(N7:Q7)</f>
        <v>13</v>
      </c>
      <c r="S7" s="17">
        <v>13</v>
      </c>
      <c r="T7" s="17">
        <v>0</v>
      </c>
      <c r="U7" s="17">
        <v>0</v>
      </c>
      <c r="V7" s="17">
        <v>0</v>
      </c>
      <c r="W7" s="88">
        <f t="shared" si="3"/>
        <v>13</v>
      </c>
      <c r="X7" s="23">
        <v>13</v>
      </c>
      <c r="Y7" s="23">
        <v>0</v>
      </c>
      <c r="Z7" s="23">
        <v>0</v>
      </c>
      <c r="AA7" s="23">
        <v>0</v>
      </c>
      <c r="AB7" s="87">
        <f t="shared" si="4"/>
        <v>13</v>
      </c>
      <c r="AC7" s="27">
        <v>13</v>
      </c>
      <c r="AD7" s="27">
        <v>0</v>
      </c>
      <c r="AE7" s="27">
        <v>0</v>
      </c>
      <c r="AF7" s="87">
        <f t="shared" si="5"/>
        <v>13</v>
      </c>
      <c r="AG7" s="35">
        <v>10</v>
      </c>
      <c r="AH7" s="34">
        <v>0</v>
      </c>
      <c r="AI7" s="35">
        <v>3</v>
      </c>
      <c r="AJ7" s="95">
        <f t="shared" si="6"/>
        <v>13</v>
      </c>
    </row>
    <row r="8" spans="1:36" ht="18.5" x14ac:dyDescent="0.35">
      <c r="A8" s="3" t="s">
        <v>24</v>
      </c>
      <c r="B8" s="48">
        <v>392</v>
      </c>
      <c r="C8" s="68">
        <f t="shared" si="0"/>
        <v>9</v>
      </c>
      <c r="D8" s="53">
        <v>8</v>
      </c>
      <c r="E8" s="53">
        <v>1</v>
      </c>
      <c r="F8" s="73">
        <f t="shared" si="1"/>
        <v>45</v>
      </c>
      <c r="G8" s="17">
        <v>3</v>
      </c>
      <c r="H8" s="17">
        <v>42</v>
      </c>
      <c r="I8" s="60">
        <f t="shared" si="2"/>
        <v>43</v>
      </c>
      <c r="J8" s="48">
        <v>38</v>
      </c>
      <c r="K8" s="48">
        <v>5</v>
      </c>
      <c r="L8" s="27">
        <v>5</v>
      </c>
      <c r="M8" s="27">
        <v>0</v>
      </c>
      <c r="N8" s="13">
        <v>4</v>
      </c>
      <c r="O8" s="13">
        <v>1</v>
      </c>
      <c r="P8" s="13">
        <v>0</v>
      </c>
      <c r="Q8" s="13">
        <v>0</v>
      </c>
      <c r="R8" s="88">
        <f t="shared" ref="R8:R10" si="7">SUM(N8:Q8)</f>
        <v>5</v>
      </c>
      <c r="S8" s="17">
        <v>5</v>
      </c>
      <c r="T8" s="17">
        <v>0</v>
      </c>
      <c r="U8" s="17">
        <v>0</v>
      </c>
      <c r="V8" s="17">
        <v>0</v>
      </c>
      <c r="W8" s="88">
        <f t="shared" si="3"/>
        <v>5</v>
      </c>
      <c r="X8" s="23">
        <v>5</v>
      </c>
      <c r="Y8" s="23">
        <v>0</v>
      </c>
      <c r="Z8" s="23">
        <v>0</v>
      </c>
      <c r="AA8" s="23">
        <v>0</v>
      </c>
      <c r="AB8" s="87">
        <f t="shared" si="4"/>
        <v>5</v>
      </c>
      <c r="AC8" s="27">
        <v>5</v>
      </c>
      <c r="AD8" s="27">
        <v>0</v>
      </c>
      <c r="AE8" s="27">
        <v>0</v>
      </c>
      <c r="AF8" s="87">
        <f t="shared" si="5"/>
        <v>5</v>
      </c>
      <c r="AG8" s="35">
        <v>2</v>
      </c>
      <c r="AH8" s="34">
        <v>0</v>
      </c>
      <c r="AI8" s="35">
        <v>3</v>
      </c>
      <c r="AJ8" s="95">
        <f t="shared" si="6"/>
        <v>5</v>
      </c>
    </row>
    <row r="9" spans="1:36" ht="18.5" x14ac:dyDescent="0.35">
      <c r="A9" s="3" t="s">
        <v>25</v>
      </c>
      <c r="B9" s="48">
        <v>10478</v>
      </c>
      <c r="C9" s="68">
        <f t="shared" si="0"/>
        <v>422</v>
      </c>
      <c r="D9" s="53">
        <v>358</v>
      </c>
      <c r="E9" s="53">
        <v>64</v>
      </c>
      <c r="F9" s="73">
        <f t="shared" si="1"/>
        <v>196</v>
      </c>
      <c r="G9" s="17">
        <v>22</v>
      </c>
      <c r="H9" s="17">
        <v>174</v>
      </c>
      <c r="I9" s="60">
        <f t="shared" si="2"/>
        <v>66</v>
      </c>
      <c r="J9" s="48">
        <v>50</v>
      </c>
      <c r="K9" s="48">
        <v>16</v>
      </c>
      <c r="L9" s="27">
        <v>14</v>
      </c>
      <c r="M9" s="27">
        <v>2</v>
      </c>
      <c r="N9" s="13">
        <v>13</v>
      </c>
      <c r="O9" s="13">
        <v>1</v>
      </c>
      <c r="P9" s="13">
        <v>0</v>
      </c>
      <c r="Q9" s="13">
        <v>2</v>
      </c>
      <c r="R9" s="88">
        <f t="shared" si="7"/>
        <v>16</v>
      </c>
      <c r="S9" s="17">
        <v>16</v>
      </c>
      <c r="T9" s="17">
        <v>0</v>
      </c>
      <c r="U9" s="17">
        <v>0</v>
      </c>
      <c r="V9" s="17">
        <v>0</v>
      </c>
      <c r="W9" s="88">
        <f t="shared" si="3"/>
        <v>16</v>
      </c>
      <c r="X9" s="23">
        <v>16</v>
      </c>
      <c r="Y9" s="23">
        <v>0</v>
      </c>
      <c r="Z9" s="23">
        <v>0</v>
      </c>
      <c r="AA9" s="23">
        <v>0</v>
      </c>
      <c r="AB9" s="87">
        <f t="shared" si="4"/>
        <v>16</v>
      </c>
      <c r="AC9" s="27">
        <v>10</v>
      </c>
      <c r="AD9" s="27">
        <v>6</v>
      </c>
      <c r="AE9" s="27">
        <v>0</v>
      </c>
      <c r="AF9" s="87">
        <f t="shared" si="5"/>
        <v>16</v>
      </c>
      <c r="AG9" s="35">
        <v>14</v>
      </c>
      <c r="AH9" s="34">
        <v>0</v>
      </c>
      <c r="AI9" s="35">
        <v>2</v>
      </c>
      <c r="AJ9" s="95">
        <f t="shared" si="6"/>
        <v>16</v>
      </c>
    </row>
    <row r="10" spans="1:36" ht="18.5" x14ac:dyDescent="0.35">
      <c r="A10" s="3" t="s">
        <v>26</v>
      </c>
      <c r="B10" s="48">
        <v>427</v>
      </c>
      <c r="C10" s="68">
        <f t="shared" si="0"/>
        <v>67</v>
      </c>
      <c r="D10" s="53">
        <v>12</v>
      </c>
      <c r="E10" s="53">
        <v>55</v>
      </c>
      <c r="F10" s="73">
        <f t="shared" si="1"/>
        <v>15</v>
      </c>
      <c r="G10" s="17">
        <v>1</v>
      </c>
      <c r="H10" s="17">
        <v>14</v>
      </c>
      <c r="I10" s="60">
        <f t="shared" si="2"/>
        <v>2</v>
      </c>
      <c r="J10" s="48">
        <v>0</v>
      </c>
      <c r="K10" s="48">
        <v>2</v>
      </c>
      <c r="L10" s="27">
        <v>2</v>
      </c>
      <c r="M10" s="27">
        <v>0</v>
      </c>
      <c r="N10" s="13">
        <v>2</v>
      </c>
      <c r="O10" s="13">
        <v>0</v>
      </c>
      <c r="P10" s="13">
        <v>0</v>
      </c>
      <c r="Q10" s="13">
        <v>0</v>
      </c>
      <c r="R10" s="88">
        <f t="shared" si="7"/>
        <v>2</v>
      </c>
      <c r="S10" s="17">
        <v>2</v>
      </c>
      <c r="T10" s="17">
        <v>0</v>
      </c>
      <c r="U10" s="17">
        <v>0</v>
      </c>
      <c r="V10" s="17">
        <v>0</v>
      </c>
      <c r="W10" s="88">
        <f t="shared" si="3"/>
        <v>2</v>
      </c>
      <c r="X10" s="23">
        <v>2</v>
      </c>
      <c r="Y10" s="23">
        <v>0</v>
      </c>
      <c r="Z10" s="23">
        <v>0</v>
      </c>
      <c r="AA10" s="23">
        <v>0</v>
      </c>
      <c r="AB10" s="87">
        <f t="shared" si="4"/>
        <v>2</v>
      </c>
      <c r="AC10" s="27">
        <v>2</v>
      </c>
      <c r="AD10" s="27">
        <v>0</v>
      </c>
      <c r="AE10" s="27">
        <v>0</v>
      </c>
      <c r="AF10" s="87">
        <f t="shared" si="5"/>
        <v>2</v>
      </c>
      <c r="AG10" s="35">
        <v>2</v>
      </c>
      <c r="AH10" s="34">
        <v>0</v>
      </c>
      <c r="AI10" s="35">
        <v>0</v>
      </c>
      <c r="AJ10" s="95">
        <f t="shared" si="6"/>
        <v>2</v>
      </c>
    </row>
    <row r="11" spans="1:36" s="45" customFormat="1" ht="18.5" x14ac:dyDescent="0.35">
      <c r="A11" s="41" t="s">
        <v>23</v>
      </c>
      <c r="B11" s="42">
        <f t="shared" ref="B11:AI11" si="8">SUM(B2:B10)</f>
        <v>1939449</v>
      </c>
      <c r="C11" s="42">
        <f t="shared" si="8"/>
        <v>93268</v>
      </c>
      <c r="D11" s="42">
        <f t="shared" si="8"/>
        <v>72870</v>
      </c>
      <c r="E11" s="42">
        <f t="shared" si="8"/>
        <v>20398</v>
      </c>
      <c r="F11" s="42">
        <f t="shared" si="8"/>
        <v>47263</v>
      </c>
      <c r="G11" s="42">
        <f t="shared" si="8"/>
        <v>16731</v>
      </c>
      <c r="H11" s="42">
        <f t="shared" si="8"/>
        <v>30532</v>
      </c>
      <c r="I11" s="42">
        <f t="shared" si="8"/>
        <v>52862</v>
      </c>
      <c r="J11" s="42">
        <f t="shared" si="8"/>
        <v>26585</v>
      </c>
      <c r="K11" s="42">
        <f t="shared" si="8"/>
        <v>26277</v>
      </c>
      <c r="L11" s="42">
        <f t="shared" si="8"/>
        <v>25565</v>
      </c>
      <c r="M11" s="42">
        <f t="shared" si="8"/>
        <v>712</v>
      </c>
      <c r="N11" s="42">
        <f t="shared" si="8"/>
        <v>20957</v>
      </c>
      <c r="O11" s="42">
        <f t="shared" si="8"/>
        <v>4529</v>
      </c>
      <c r="P11" s="42">
        <f t="shared" si="8"/>
        <v>79</v>
      </c>
      <c r="Q11" s="42">
        <f t="shared" si="8"/>
        <v>712</v>
      </c>
      <c r="R11" s="89">
        <f>SUM(R2:R10)</f>
        <v>26277</v>
      </c>
      <c r="S11" s="42">
        <f t="shared" si="8"/>
        <v>26227</v>
      </c>
      <c r="T11" s="42">
        <f t="shared" si="8"/>
        <v>30</v>
      </c>
      <c r="U11" s="42">
        <f>SUM(U2:U10)</f>
        <v>0</v>
      </c>
      <c r="V11" s="42">
        <f t="shared" si="8"/>
        <v>20</v>
      </c>
      <c r="W11" s="89">
        <f>SUM(W2:W10)</f>
        <v>26277</v>
      </c>
      <c r="X11" s="42">
        <f t="shared" si="8"/>
        <v>26229</v>
      </c>
      <c r="Y11" s="42">
        <f t="shared" si="8"/>
        <v>28</v>
      </c>
      <c r="Z11" s="42">
        <f>SUM(Z2:Z10)</f>
        <v>0</v>
      </c>
      <c r="AA11" s="42">
        <f t="shared" si="8"/>
        <v>20</v>
      </c>
      <c r="AB11" s="89">
        <f>SUM(AB2:AB10)</f>
        <v>26277</v>
      </c>
      <c r="AC11" s="42">
        <f t="shared" si="8"/>
        <v>8110</v>
      </c>
      <c r="AD11" s="42">
        <f t="shared" si="8"/>
        <v>18147</v>
      </c>
      <c r="AE11" s="42">
        <f t="shared" si="8"/>
        <v>20</v>
      </c>
      <c r="AF11" s="89">
        <f>SUM(AF2:AF10)</f>
        <v>26277</v>
      </c>
      <c r="AG11" s="43">
        <f t="shared" si="8"/>
        <v>24929</v>
      </c>
      <c r="AH11" s="44">
        <f t="shared" si="8"/>
        <v>64</v>
      </c>
      <c r="AI11" s="43">
        <f t="shared" si="8"/>
        <v>1284</v>
      </c>
      <c r="AJ11" s="96">
        <f>SUM(AJ2:AJ10)</f>
        <v>26277</v>
      </c>
    </row>
    <row r="12" spans="1:36" ht="18.5" x14ac:dyDescent="0.65">
      <c r="A12" s="3"/>
      <c r="B12" s="48"/>
      <c r="C12" s="68"/>
      <c r="D12" s="53"/>
      <c r="E12" s="53"/>
      <c r="F12" s="73"/>
      <c r="G12" s="17"/>
      <c r="H12" s="17"/>
      <c r="I12" s="60"/>
      <c r="J12" s="65"/>
      <c r="K12" s="65"/>
      <c r="L12" s="28"/>
      <c r="M12" s="28"/>
      <c r="N12" s="14"/>
      <c r="O12" s="14"/>
      <c r="P12" s="14"/>
      <c r="Q12" s="14"/>
      <c r="R12" s="81"/>
      <c r="S12" s="18"/>
      <c r="T12" s="18"/>
      <c r="U12" s="18"/>
      <c r="V12" s="18"/>
      <c r="W12" s="81"/>
      <c r="X12" s="22"/>
      <c r="Y12" s="22"/>
      <c r="Z12" s="22"/>
      <c r="AA12" s="23"/>
      <c r="AB12" s="80"/>
      <c r="AC12" s="27"/>
      <c r="AD12" s="27"/>
      <c r="AE12" s="27"/>
      <c r="AF12" s="80"/>
      <c r="AG12" s="35"/>
      <c r="AH12" s="34"/>
      <c r="AI12" s="35"/>
      <c r="AJ12" s="97"/>
    </row>
    <row r="13" spans="1:36" ht="85" x14ac:dyDescent="0.35">
      <c r="A13" s="6" t="s">
        <v>55</v>
      </c>
      <c r="B13" s="47" t="s">
        <v>32</v>
      </c>
      <c r="C13" s="67" t="s">
        <v>36</v>
      </c>
      <c r="D13" s="52" t="s">
        <v>31</v>
      </c>
      <c r="E13" s="52" t="s">
        <v>30</v>
      </c>
      <c r="F13" s="72" t="s">
        <v>35</v>
      </c>
      <c r="G13" s="16" t="s">
        <v>33</v>
      </c>
      <c r="H13" s="16" t="s">
        <v>34</v>
      </c>
      <c r="I13" s="59" t="s">
        <v>27</v>
      </c>
      <c r="J13" s="64" t="s">
        <v>29</v>
      </c>
      <c r="K13" s="64" t="s">
        <v>28</v>
      </c>
      <c r="L13" s="11" t="s">
        <v>37</v>
      </c>
      <c r="M13" s="11" t="s">
        <v>38</v>
      </c>
      <c r="N13" s="6" t="s">
        <v>39</v>
      </c>
      <c r="O13" s="6" t="s">
        <v>40</v>
      </c>
      <c r="P13" s="6" t="s">
        <v>41</v>
      </c>
      <c r="Q13" s="6" t="s">
        <v>42</v>
      </c>
      <c r="R13" s="6" t="s">
        <v>23</v>
      </c>
      <c r="S13" s="16" t="s">
        <v>43</v>
      </c>
      <c r="T13" s="16" t="s">
        <v>44</v>
      </c>
      <c r="U13" s="16" t="s">
        <v>61</v>
      </c>
      <c r="V13" s="16" t="s">
        <v>45</v>
      </c>
      <c r="W13" s="7" t="s">
        <v>23</v>
      </c>
      <c r="X13" s="21" t="s">
        <v>46</v>
      </c>
      <c r="Y13" s="21" t="s">
        <v>47</v>
      </c>
      <c r="Z13" s="21" t="s">
        <v>62</v>
      </c>
      <c r="AA13" s="21" t="s">
        <v>48</v>
      </c>
      <c r="AB13" s="7" t="s">
        <v>23</v>
      </c>
      <c r="AC13" s="11" t="s">
        <v>49</v>
      </c>
      <c r="AD13" s="11" t="s">
        <v>50</v>
      </c>
      <c r="AE13" s="11" t="s">
        <v>51</v>
      </c>
      <c r="AF13" s="7" t="s">
        <v>23</v>
      </c>
      <c r="AG13" s="32" t="s">
        <v>52</v>
      </c>
      <c r="AH13" s="32" t="s">
        <v>53</v>
      </c>
      <c r="AI13" s="32" t="s">
        <v>54</v>
      </c>
      <c r="AJ13" s="94" t="s">
        <v>23</v>
      </c>
    </row>
    <row r="14" spans="1:36" ht="18.5" x14ac:dyDescent="0.65">
      <c r="A14" s="4" t="s">
        <v>56</v>
      </c>
      <c r="B14" s="48">
        <v>628653</v>
      </c>
      <c r="C14" s="79">
        <f>SUM(D14:E14)</f>
        <v>28211</v>
      </c>
      <c r="D14" s="53">
        <v>22131</v>
      </c>
      <c r="E14" s="53">
        <v>6080</v>
      </c>
      <c r="F14" s="73">
        <f>SUM(G14:H14)</f>
        <v>14778</v>
      </c>
      <c r="G14" s="17">
        <v>2808</v>
      </c>
      <c r="H14" s="17">
        <v>11970</v>
      </c>
      <c r="I14" s="60">
        <f>SUM(J14:K14)</f>
        <v>12833</v>
      </c>
      <c r="J14" s="65">
        <v>6265</v>
      </c>
      <c r="K14" s="65">
        <v>6568</v>
      </c>
      <c r="L14" s="28">
        <v>6396</v>
      </c>
      <c r="M14" s="28">
        <v>172</v>
      </c>
      <c r="N14" s="14">
        <v>5333</v>
      </c>
      <c r="O14" s="14">
        <v>1044</v>
      </c>
      <c r="P14" s="14">
        <v>19</v>
      </c>
      <c r="Q14" s="14">
        <v>172</v>
      </c>
      <c r="R14" s="87">
        <f>SUM(N14:Q14)</f>
        <v>6568</v>
      </c>
      <c r="S14" s="18">
        <v>6554</v>
      </c>
      <c r="T14" s="18">
        <v>8</v>
      </c>
      <c r="U14" s="18"/>
      <c r="V14" s="18">
        <v>6</v>
      </c>
      <c r="W14" s="87">
        <f>SUM(S14:V14)</f>
        <v>6568</v>
      </c>
      <c r="X14" s="22">
        <v>6553</v>
      </c>
      <c r="Y14" s="22">
        <v>9</v>
      </c>
      <c r="Z14" s="22"/>
      <c r="AA14" s="23">
        <v>6</v>
      </c>
      <c r="AB14" s="88">
        <f>SUM(X14:AA14)</f>
        <v>6568</v>
      </c>
      <c r="AC14" s="27">
        <v>2044</v>
      </c>
      <c r="AD14" s="27">
        <v>4518</v>
      </c>
      <c r="AE14" s="27">
        <v>6</v>
      </c>
      <c r="AF14" s="88">
        <f>SUM(AC14:AE14)</f>
        <v>6568</v>
      </c>
      <c r="AG14" s="35">
        <v>6213</v>
      </c>
      <c r="AH14" s="34">
        <v>14</v>
      </c>
      <c r="AI14" s="35">
        <v>341</v>
      </c>
      <c r="AJ14" s="101">
        <f>SUM(AG14:AI14)</f>
        <v>6568</v>
      </c>
    </row>
    <row r="15" spans="1:36" ht="18.5" x14ac:dyDescent="0.65">
      <c r="A15" s="3" t="s">
        <v>57</v>
      </c>
      <c r="B15" s="48">
        <v>629034</v>
      </c>
      <c r="C15" s="68">
        <f>SUM(D15:E15)</f>
        <v>31083</v>
      </c>
      <c r="D15" s="53">
        <v>24195</v>
      </c>
      <c r="E15" s="53">
        <v>6888</v>
      </c>
      <c r="F15" s="73">
        <f>SUM(G15:H15)</f>
        <v>15750</v>
      </c>
      <c r="G15" s="17">
        <v>7132</v>
      </c>
      <c r="H15" s="17">
        <v>8618</v>
      </c>
      <c r="I15" s="60">
        <f>SUM(J15:K15)</f>
        <v>21853</v>
      </c>
      <c r="J15" s="65">
        <v>11637</v>
      </c>
      <c r="K15" s="65">
        <v>10216</v>
      </c>
      <c r="L15" s="28">
        <v>9888</v>
      </c>
      <c r="M15" s="28">
        <v>328</v>
      </c>
      <c r="N15" s="14">
        <v>8210</v>
      </c>
      <c r="O15" s="14">
        <v>1644</v>
      </c>
      <c r="P15" s="14">
        <v>34</v>
      </c>
      <c r="Q15" s="14">
        <v>328</v>
      </c>
      <c r="R15" s="87">
        <f t="shared" ref="R15:R18" si="9">SUM(N15:Q15)</f>
        <v>10216</v>
      </c>
      <c r="S15" s="18">
        <v>10195</v>
      </c>
      <c r="T15" s="18">
        <v>14</v>
      </c>
      <c r="U15" s="18"/>
      <c r="V15" s="18">
        <v>7</v>
      </c>
      <c r="W15" s="87">
        <f t="shared" ref="W15:W18" si="10">SUM(S15:V15)</f>
        <v>10216</v>
      </c>
      <c r="X15" s="22">
        <v>10197</v>
      </c>
      <c r="Y15" s="22">
        <v>12</v>
      </c>
      <c r="Z15" s="22"/>
      <c r="AA15" s="23">
        <v>7</v>
      </c>
      <c r="AB15" s="88">
        <f t="shared" ref="AB15:AB18" si="11">SUM(X15:AA15)</f>
        <v>10216</v>
      </c>
      <c r="AC15" s="27">
        <v>2967</v>
      </c>
      <c r="AD15" s="27">
        <v>7242</v>
      </c>
      <c r="AE15" s="27">
        <v>7</v>
      </c>
      <c r="AF15" s="88">
        <f t="shared" ref="AF15:AF18" si="12">SUM(AC15:AE15)</f>
        <v>10216</v>
      </c>
      <c r="AG15" s="35">
        <v>9767</v>
      </c>
      <c r="AH15" s="34">
        <v>24</v>
      </c>
      <c r="AI15" s="35">
        <v>425</v>
      </c>
      <c r="AJ15" s="101">
        <f t="shared" ref="AJ15:AJ18" si="13">SUM(AG15:AI15)</f>
        <v>10216</v>
      </c>
    </row>
    <row r="16" spans="1:36" ht="18.5" x14ac:dyDescent="0.65">
      <c r="A16" s="3" t="s">
        <v>58</v>
      </c>
      <c r="B16" s="48">
        <v>356515</v>
      </c>
      <c r="C16" s="68">
        <f>SUM(D16:E16)</f>
        <v>16149</v>
      </c>
      <c r="D16" s="53">
        <v>12379</v>
      </c>
      <c r="E16" s="53">
        <v>3770</v>
      </c>
      <c r="F16" s="73">
        <f>SUM(G16:H16)</f>
        <v>7299</v>
      </c>
      <c r="G16" s="17">
        <v>3147</v>
      </c>
      <c r="H16" s="17">
        <v>4152</v>
      </c>
      <c r="I16" s="60">
        <f>SUM(J16:K16)</f>
        <v>7404</v>
      </c>
      <c r="J16" s="65">
        <v>3438</v>
      </c>
      <c r="K16" s="65">
        <v>3966</v>
      </c>
      <c r="L16" s="28">
        <v>3897</v>
      </c>
      <c r="M16" s="28">
        <v>69</v>
      </c>
      <c r="N16" s="14">
        <v>3115</v>
      </c>
      <c r="O16" s="14">
        <v>771</v>
      </c>
      <c r="P16" s="14">
        <v>11</v>
      </c>
      <c r="Q16" s="14">
        <v>69</v>
      </c>
      <c r="R16" s="87">
        <f t="shared" si="9"/>
        <v>3966</v>
      </c>
      <c r="S16" s="18">
        <v>3961</v>
      </c>
      <c r="T16" s="18">
        <v>2</v>
      </c>
      <c r="U16" s="18"/>
      <c r="V16" s="18">
        <v>3</v>
      </c>
      <c r="W16" s="87">
        <f t="shared" si="10"/>
        <v>3966</v>
      </c>
      <c r="X16" s="22">
        <v>3961</v>
      </c>
      <c r="Y16" s="22">
        <v>2</v>
      </c>
      <c r="Z16" s="22"/>
      <c r="AA16" s="23">
        <v>3</v>
      </c>
      <c r="AB16" s="88">
        <f t="shared" si="11"/>
        <v>3966</v>
      </c>
      <c r="AC16" s="27">
        <v>1140</v>
      </c>
      <c r="AD16" s="27">
        <v>2823</v>
      </c>
      <c r="AE16" s="27">
        <v>3</v>
      </c>
      <c r="AF16" s="88">
        <f t="shared" si="12"/>
        <v>3966</v>
      </c>
      <c r="AG16" s="35">
        <v>3796</v>
      </c>
      <c r="AH16" s="34">
        <v>10</v>
      </c>
      <c r="AI16" s="35">
        <v>160</v>
      </c>
      <c r="AJ16" s="101">
        <f t="shared" si="13"/>
        <v>3966</v>
      </c>
    </row>
    <row r="17" spans="1:36" ht="18.5" x14ac:dyDescent="0.65">
      <c r="A17" s="3" t="s">
        <v>59</v>
      </c>
      <c r="B17" s="48">
        <v>324853</v>
      </c>
      <c r="C17" s="68">
        <f>SUM(D17:E17)</f>
        <v>17825</v>
      </c>
      <c r="D17" s="53">
        <v>14165</v>
      </c>
      <c r="E17" s="53">
        <v>3660</v>
      </c>
      <c r="F17" s="73">
        <f>SUM(G17:H17)</f>
        <v>9436</v>
      </c>
      <c r="G17" s="17">
        <v>3644</v>
      </c>
      <c r="H17" s="17">
        <v>5792</v>
      </c>
      <c r="I17" s="60">
        <f>SUM(J17:K17)</f>
        <v>10754</v>
      </c>
      <c r="J17" s="65">
        <v>5227</v>
      </c>
      <c r="K17" s="65">
        <v>5527</v>
      </c>
      <c r="L17" s="28">
        <v>5384</v>
      </c>
      <c r="M17" s="28">
        <v>143</v>
      </c>
      <c r="N17" s="14">
        <v>4299</v>
      </c>
      <c r="O17" s="14">
        <v>1070</v>
      </c>
      <c r="P17" s="14">
        <v>15</v>
      </c>
      <c r="Q17" s="14">
        <v>143</v>
      </c>
      <c r="R17" s="87">
        <f t="shared" si="9"/>
        <v>5527</v>
      </c>
      <c r="S17" s="18">
        <v>5517</v>
      </c>
      <c r="T17" s="18">
        <v>6</v>
      </c>
      <c r="U17" s="18"/>
      <c r="V17" s="18">
        <v>4</v>
      </c>
      <c r="W17" s="87">
        <f t="shared" si="10"/>
        <v>5527</v>
      </c>
      <c r="X17" s="22">
        <v>5518</v>
      </c>
      <c r="Y17" s="22">
        <v>5</v>
      </c>
      <c r="Z17" s="22"/>
      <c r="AA17" s="23">
        <v>4</v>
      </c>
      <c r="AB17" s="88">
        <f t="shared" si="11"/>
        <v>5527</v>
      </c>
      <c r="AC17" s="27">
        <v>1959</v>
      </c>
      <c r="AD17" s="27">
        <v>3564</v>
      </c>
      <c r="AE17" s="27">
        <v>4</v>
      </c>
      <c r="AF17" s="88">
        <f t="shared" si="12"/>
        <v>5527</v>
      </c>
      <c r="AG17" s="35">
        <v>5153</v>
      </c>
      <c r="AH17" s="34">
        <v>16</v>
      </c>
      <c r="AI17" s="35">
        <v>358</v>
      </c>
      <c r="AJ17" s="101">
        <f t="shared" si="13"/>
        <v>5527</v>
      </c>
    </row>
    <row r="18" spans="1:36" ht="24" x14ac:dyDescent="0.35">
      <c r="A18" s="77" t="s">
        <v>60</v>
      </c>
      <c r="B18" s="49">
        <v>394</v>
      </c>
      <c r="C18" s="69">
        <f>SUM(D18:E18)</f>
        <v>0</v>
      </c>
      <c r="D18" s="54">
        <v>0</v>
      </c>
      <c r="E18" s="54">
        <v>0</v>
      </c>
      <c r="F18" s="74">
        <f>SUM(G18:H18)</f>
        <v>0</v>
      </c>
      <c r="G18" s="57">
        <v>0</v>
      </c>
      <c r="H18" s="57">
        <v>0</v>
      </c>
      <c r="I18" s="61">
        <f>SUM(J18:K18)</f>
        <v>18</v>
      </c>
      <c r="J18" s="49">
        <v>18</v>
      </c>
      <c r="K18" s="49">
        <v>0</v>
      </c>
      <c r="L18" s="29">
        <v>0</v>
      </c>
      <c r="M18" s="29">
        <v>0</v>
      </c>
      <c r="N18" s="5">
        <v>0</v>
      </c>
      <c r="O18" s="5">
        <v>0</v>
      </c>
      <c r="P18" s="5">
        <v>0</v>
      </c>
      <c r="Q18" s="5">
        <v>0</v>
      </c>
      <c r="R18" s="87">
        <f t="shared" si="9"/>
        <v>0</v>
      </c>
      <c r="S18" s="57">
        <v>0</v>
      </c>
      <c r="T18" s="57">
        <v>0</v>
      </c>
      <c r="U18" s="57">
        <v>0</v>
      </c>
      <c r="V18" s="57">
        <v>0</v>
      </c>
      <c r="W18" s="88">
        <f t="shared" si="10"/>
        <v>0</v>
      </c>
      <c r="X18" s="25">
        <v>0</v>
      </c>
      <c r="Y18" s="25">
        <v>0</v>
      </c>
      <c r="Z18" s="25">
        <v>0</v>
      </c>
      <c r="AA18" s="25">
        <v>0</v>
      </c>
      <c r="AB18" s="88">
        <f t="shared" si="11"/>
        <v>0</v>
      </c>
      <c r="AC18" s="29">
        <v>0</v>
      </c>
      <c r="AD18" s="29">
        <v>0</v>
      </c>
      <c r="AE18" s="29">
        <v>0</v>
      </c>
      <c r="AF18" s="88">
        <f t="shared" si="12"/>
        <v>0</v>
      </c>
      <c r="AG18" s="36">
        <v>0</v>
      </c>
      <c r="AH18" s="37">
        <v>0</v>
      </c>
      <c r="AI18" s="36">
        <v>0</v>
      </c>
      <c r="AJ18" s="101">
        <f t="shared" si="13"/>
        <v>0</v>
      </c>
    </row>
    <row r="19" spans="1:36" s="78" customFormat="1" ht="18.5" x14ac:dyDescent="0.65">
      <c r="A19" s="41" t="s">
        <v>23</v>
      </c>
      <c r="B19" s="102">
        <f>SUM(B14:B18)</f>
        <v>1939449</v>
      </c>
      <c r="C19" s="102">
        <f>SUM(C14:C18)</f>
        <v>93268</v>
      </c>
      <c r="D19" s="102">
        <f>SUM(D14:D18)</f>
        <v>72870</v>
      </c>
      <c r="E19" s="102">
        <f>SUM(E14:E18)</f>
        <v>20398</v>
      </c>
      <c r="F19" s="102">
        <f>SUM(F14:F18)</f>
        <v>47263</v>
      </c>
      <c r="G19" s="102">
        <f>SUM(G14:G18)</f>
        <v>16731</v>
      </c>
      <c r="H19" s="102">
        <f>SUM(H14:H18)</f>
        <v>30532</v>
      </c>
      <c r="I19" s="102">
        <f>SUM(I14:I18)</f>
        <v>52862</v>
      </c>
      <c r="J19" s="103">
        <f>SUM(J14:J18)</f>
        <v>26585</v>
      </c>
      <c r="K19" s="103">
        <f>SUM(K14:K18)</f>
        <v>26277</v>
      </c>
      <c r="L19" s="103">
        <f>SUM(L14:L18)</f>
        <v>25565</v>
      </c>
      <c r="M19" s="103">
        <f>SUM(M14:M18)</f>
        <v>712</v>
      </c>
      <c r="N19" s="103">
        <f>SUM(N14:N18)</f>
        <v>20957</v>
      </c>
      <c r="O19" s="103">
        <f>SUM(O14:O18)</f>
        <v>4529</v>
      </c>
      <c r="P19" s="103">
        <f>SUM(P14:P18)</f>
        <v>79</v>
      </c>
      <c r="Q19" s="103">
        <f>SUM(Q14:Q18)</f>
        <v>712</v>
      </c>
      <c r="R19" s="92">
        <f>SUM(R14:R18)</f>
        <v>26277</v>
      </c>
      <c r="S19" s="103">
        <f>SUM(S14:S18)</f>
        <v>26227</v>
      </c>
      <c r="T19" s="103">
        <f>SUM(T14:T18)</f>
        <v>30</v>
      </c>
      <c r="U19" s="103">
        <f>SUM(U14:U18)</f>
        <v>0</v>
      </c>
      <c r="V19" s="103">
        <f>SUM(V14:V18)</f>
        <v>20</v>
      </c>
      <c r="W19" s="92">
        <f>SUM(W14:W18)</f>
        <v>26277</v>
      </c>
      <c r="X19" s="103">
        <f>SUM(X14:X18)</f>
        <v>26229</v>
      </c>
      <c r="Y19" s="103">
        <f>SUM(Y14:Y18)</f>
        <v>28</v>
      </c>
      <c r="Z19" s="103">
        <f>SUM(Z14:Z18)</f>
        <v>0</v>
      </c>
      <c r="AA19" s="102">
        <f>SUM(AA14:AA18)</f>
        <v>20</v>
      </c>
      <c r="AB19" s="93">
        <f>SUM(AB14:AB18)</f>
        <v>26277</v>
      </c>
      <c r="AC19" s="102">
        <f>SUM(AC14:AC18)</f>
        <v>8110</v>
      </c>
      <c r="AD19" s="102">
        <f>SUM(AD14:AD18)</f>
        <v>18147</v>
      </c>
      <c r="AE19" s="102">
        <f>SUM(AE14:AE18)</f>
        <v>20</v>
      </c>
      <c r="AF19" s="93">
        <f>SUM(AF14:AF18)</f>
        <v>26277</v>
      </c>
      <c r="AG19" s="104">
        <f>SUM(AG14:AG18)</f>
        <v>24929</v>
      </c>
      <c r="AH19" s="105">
        <f>SUM(AH14:AH18)</f>
        <v>64</v>
      </c>
      <c r="AI19" s="104">
        <f>SUM(AI14:AI18)</f>
        <v>1284</v>
      </c>
      <c r="AJ19" s="106">
        <f>SUM(AJ14:AJ18)</f>
        <v>26277</v>
      </c>
    </row>
    <row r="20" spans="1:36" ht="18.5" x14ac:dyDescent="0.65">
      <c r="A20" s="3"/>
      <c r="B20" s="49"/>
      <c r="C20" s="69"/>
      <c r="D20" s="54"/>
      <c r="E20" s="54"/>
      <c r="F20" s="74"/>
      <c r="G20" s="57"/>
      <c r="H20" s="57"/>
      <c r="I20" s="61"/>
      <c r="J20" s="66"/>
      <c r="K20" s="66"/>
      <c r="L20" s="30"/>
      <c r="M20" s="30"/>
      <c r="N20" s="12"/>
      <c r="O20" s="12"/>
      <c r="P20" s="12"/>
      <c r="Q20" s="12"/>
      <c r="R20" s="83"/>
      <c r="S20" s="19"/>
      <c r="T20" s="19"/>
      <c r="U20" s="19"/>
      <c r="V20" s="19"/>
      <c r="W20" s="83"/>
      <c r="X20" s="24"/>
      <c r="Y20" s="24"/>
      <c r="Z20" s="24"/>
      <c r="AA20" s="25"/>
      <c r="AB20" s="82"/>
      <c r="AC20" s="29"/>
      <c r="AD20" s="29"/>
      <c r="AE20" s="29"/>
      <c r="AF20" s="82"/>
      <c r="AG20" s="36"/>
      <c r="AH20" s="37"/>
      <c r="AI20" s="36"/>
      <c r="AJ20" s="98"/>
    </row>
    <row r="21" spans="1:36" ht="18.5" x14ac:dyDescent="0.65">
      <c r="A21" s="3"/>
      <c r="B21" s="49"/>
      <c r="C21" s="69"/>
      <c r="D21" s="54"/>
      <c r="E21" s="54"/>
      <c r="F21" s="74"/>
      <c r="G21" s="57"/>
      <c r="H21" s="57"/>
      <c r="I21" s="61"/>
      <c r="J21" s="66"/>
      <c r="K21" s="66"/>
      <c r="L21" s="30"/>
      <c r="M21" s="30"/>
      <c r="N21" s="12"/>
      <c r="O21" s="12"/>
      <c r="P21" s="12"/>
      <c r="Q21" s="12"/>
      <c r="R21" s="83"/>
      <c r="S21" s="19"/>
      <c r="T21" s="19"/>
      <c r="U21" s="19"/>
      <c r="V21" s="19"/>
      <c r="W21" s="83"/>
      <c r="X21" s="24"/>
      <c r="Y21" s="24"/>
      <c r="Z21" s="24"/>
      <c r="AA21" s="24"/>
      <c r="AB21" s="83"/>
      <c r="AC21" s="30"/>
      <c r="AD21" s="30"/>
      <c r="AE21" s="30"/>
      <c r="AF21" s="83"/>
      <c r="AG21" s="38"/>
      <c r="AH21" s="39"/>
      <c r="AI21" s="38"/>
      <c r="AJ21" s="99"/>
    </row>
    <row r="22" spans="1:36" ht="18.5" x14ac:dyDescent="0.65">
      <c r="A22" s="2"/>
      <c r="B22" s="49"/>
      <c r="C22" s="69"/>
      <c r="D22" s="54"/>
      <c r="E22" s="54"/>
      <c r="F22" s="74"/>
      <c r="G22" s="57"/>
      <c r="H22" s="57"/>
      <c r="I22" s="61"/>
      <c r="J22" s="66"/>
      <c r="K22" s="66"/>
      <c r="L22" s="30"/>
      <c r="M22" s="30"/>
      <c r="N22" s="12"/>
      <c r="O22" s="12"/>
      <c r="P22" s="12"/>
      <c r="Q22" s="12"/>
      <c r="R22" s="83"/>
      <c r="S22" s="19"/>
      <c r="T22" s="19"/>
      <c r="U22" s="19"/>
      <c r="V22" s="19"/>
      <c r="W22" s="83"/>
      <c r="X22" s="24"/>
      <c r="Y22" s="24"/>
      <c r="Z22" s="24"/>
      <c r="AA22" s="24"/>
      <c r="AB22" s="83"/>
      <c r="AC22" s="30"/>
      <c r="AD22" s="30"/>
      <c r="AE22" s="30"/>
      <c r="AF22" s="83"/>
      <c r="AG22" s="38"/>
      <c r="AH22" s="39"/>
      <c r="AI22" s="38"/>
      <c r="AJ22" s="99"/>
    </row>
    <row r="23" spans="1:36" ht="18.5" x14ac:dyDescent="0.65">
      <c r="A23" s="2"/>
      <c r="B23" s="49"/>
      <c r="C23" s="69"/>
      <c r="D23" s="54"/>
      <c r="E23" s="54"/>
      <c r="F23" s="74"/>
      <c r="G23" s="57"/>
      <c r="H23" s="57"/>
      <c r="I23" s="61"/>
      <c r="J23" s="66"/>
      <c r="K23" s="66"/>
      <c r="L23" s="30"/>
      <c r="M23" s="30"/>
      <c r="N23" s="12"/>
      <c r="O23" s="12"/>
      <c r="P23" s="12"/>
      <c r="Q23" s="12"/>
      <c r="R23" s="83"/>
      <c r="S23" s="19"/>
      <c r="T23" s="19"/>
      <c r="U23" s="19"/>
      <c r="V23" s="19"/>
      <c r="W23" s="83"/>
      <c r="X23" s="24"/>
      <c r="Y23" s="24"/>
      <c r="Z23" s="24"/>
      <c r="AA23" s="24"/>
      <c r="AB23" s="83"/>
      <c r="AC23" s="30"/>
      <c r="AD23" s="30"/>
      <c r="AE23" s="30"/>
      <c r="AF23" s="83"/>
      <c r="AG23" s="38"/>
      <c r="AH23" s="39"/>
      <c r="AI23" s="38"/>
      <c r="AJ23" s="99"/>
    </row>
    <row r="24" spans="1:36" ht="18.5" x14ac:dyDescent="0.65">
      <c r="A24" s="2"/>
      <c r="B24" s="49"/>
      <c r="C24" s="69"/>
      <c r="D24" s="54"/>
      <c r="E24" s="54"/>
      <c r="F24" s="74"/>
      <c r="G24" s="57"/>
      <c r="H24" s="57"/>
      <c r="I24" s="61"/>
      <c r="J24" s="66"/>
      <c r="K24" s="66"/>
      <c r="L24" s="30"/>
      <c r="M24" s="30"/>
      <c r="N24" s="12"/>
      <c r="O24" s="12"/>
      <c r="P24" s="12"/>
      <c r="Q24" s="12"/>
      <c r="R24" s="83"/>
      <c r="S24" s="19"/>
      <c r="T24" s="19"/>
      <c r="U24" s="19"/>
      <c r="V24" s="19"/>
      <c r="W24" s="83"/>
      <c r="X24" s="24"/>
      <c r="Y24" s="24"/>
      <c r="Z24" s="24"/>
      <c r="AA24" s="24"/>
      <c r="AB24" s="83"/>
      <c r="AC24" s="30"/>
      <c r="AD24" s="30"/>
      <c r="AE24" s="30"/>
      <c r="AF24" s="83"/>
      <c r="AG24" s="38"/>
      <c r="AH24" s="39"/>
      <c r="AI24" s="38"/>
      <c r="AJ24" s="99"/>
    </row>
    <row r="25" spans="1:36" ht="18.5" x14ac:dyDescent="0.65">
      <c r="A25" s="2"/>
      <c r="B25" s="49"/>
      <c r="C25" s="69"/>
      <c r="D25" s="54"/>
      <c r="E25" s="54"/>
      <c r="F25" s="74"/>
      <c r="G25" s="57"/>
      <c r="H25" s="57"/>
      <c r="I25" s="61"/>
      <c r="J25" s="66"/>
      <c r="K25" s="66"/>
      <c r="L25" s="30"/>
      <c r="M25" s="30"/>
      <c r="N25" s="12"/>
      <c r="O25" s="12"/>
      <c r="P25" s="12"/>
      <c r="Q25" s="12"/>
      <c r="R25" s="83"/>
      <c r="S25" s="19"/>
      <c r="T25" s="19"/>
      <c r="U25" s="19"/>
      <c r="V25" s="19"/>
      <c r="W25" s="83"/>
      <c r="X25" s="24"/>
      <c r="Y25" s="24"/>
      <c r="Z25" s="24"/>
      <c r="AA25" s="24"/>
      <c r="AB25" s="83"/>
      <c r="AC25" s="30"/>
      <c r="AD25" s="30"/>
      <c r="AE25" s="30"/>
      <c r="AF25" s="83"/>
      <c r="AG25" s="38"/>
      <c r="AH25" s="39"/>
      <c r="AI25" s="38"/>
      <c r="AJ25" s="99"/>
    </row>
    <row r="26" spans="1:36" ht="18.5" x14ac:dyDescent="0.65">
      <c r="A26" s="2"/>
      <c r="B26" s="49"/>
      <c r="C26" s="69"/>
      <c r="D26" s="54"/>
      <c r="E26" s="54"/>
      <c r="F26" s="74"/>
      <c r="G26" s="57"/>
      <c r="H26" s="57"/>
      <c r="I26" s="61"/>
      <c r="J26" s="66"/>
      <c r="K26" s="66"/>
      <c r="L26" s="30"/>
      <c r="M26" s="30"/>
      <c r="N26" s="12"/>
      <c r="O26" s="12"/>
      <c r="P26" s="12"/>
      <c r="Q26" s="12"/>
      <c r="R26" s="83"/>
      <c r="S26" s="19"/>
      <c r="T26" s="19"/>
      <c r="U26" s="19"/>
      <c r="V26" s="19"/>
      <c r="W26" s="83"/>
      <c r="X26" s="24"/>
      <c r="Y26" s="24"/>
      <c r="Z26" s="24"/>
      <c r="AA26" s="24"/>
      <c r="AB26" s="83"/>
      <c r="AC26" s="30"/>
      <c r="AD26" s="30"/>
      <c r="AE26" s="30"/>
      <c r="AF26" s="83"/>
      <c r="AG26" s="38"/>
      <c r="AH26" s="39"/>
      <c r="AI26" s="38"/>
      <c r="AJ26" s="99"/>
    </row>
    <row r="27" spans="1:36" ht="18.5" x14ac:dyDescent="0.65">
      <c r="A27" s="2"/>
      <c r="B27" s="49"/>
      <c r="C27" s="69"/>
      <c r="D27" s="54"/>
      <c r="E27" s="54"/>
      <c r="F27" s="74"/>
      <c r="G27" s="57"/>
      <c r="H27" s="57"/>
      <c r="I27" s="61"/>
      <c r="J27" s="66"/>
      <c r="K27" s="66"/>
      <c r="L27" s="30"/>
      <c r="M27" s="30"/>
      <c r="N27" s="12"/>
      <c r="O27" s="12"/>
      <c r="P27" s="12"/>
      <c r="Q27" s="12"/>
      <c r="R27" s="83"/>
      <c r="S27" s="19"/>
      <c r="T27" s="19"/>
      <c r="U27" s="19"/>
      <c r="V27" s="19"/>
      <c r="W27" s="83"/>
      <c r="X27" s="24"/>
      <c r="Y27" s="24"/>
      <c r="Z27" s="24"/>
      <c r="AA27" s="24"/>
      <c r="AB27" s="83"/>
      <c r="AC27" s="30"/>
      <c r="AD27" s="30"/>
      <c r="AE27" s="30"/>
      <c r="AF27" s="83"/>
      <c r="AG27" s="38"/>
      <c r="AH27" s="39"/>
      <c r="AI27" s="38"/>
      <c r="AJ27" s="99"/>
    </row>
    <row r="28" spans="1:36" ht="18.5" x14ac:dyDescent="0.65">
      <c r="A28" s="2"/>
      <c r="B28" s="49"/>
      <c r="C28" s="69"/>
      <c r="D28" s="54"/>
      <c r="E28" s="54"/>
      <c r="F28" s="74"/>
      <c r="G28" s="57"/>
      <c r="H28" s="57"/>
      <c r="I28" s="61"/>
      <c r="J28" s="66"/>
      <c r="K28" s="66"/>
      <c r="L28" s="30"/>
      <c r="M28" s="30"/>
      <c r="N28" s="12"/>
      <c r="O28" s="12"/>
      <c r="P28" s="12"/>
      <c r="Q28" s="12"/>
      <c r="R28" s="83"/>
      <c r="S28" s="19"/>
      <c r="T28" s="19"/>
      <c r="U28" s="19"/>
      <c r="V28" s="19"/>
      <c r="W28" s="83"/>
      <c r="X28" s="24"/>
      <c r="Y28" s="24"/>
      <c r="Z28" s="24"/>
      <c r="AA28" s="24"/>
      <c r="AB28" s="83"/>
      <c r="AC28" s="30"/>
      <c r="AD28" s="30"/>
      <c r="AE28" s="30"/>
      <c r="AF28" s="83"/>
      <c r="AG28" s="38"/>
      <c r="AH28" s="39"/>
      <c r="AI28" s="38"/>
      <c r="AJ28" s="99"/>
    </row>
    <row r="29" spans="1:36" ht="18.5" x14ac:dyDescent="0.65">
      <c r="A29" s="2"/>
      <c r="B29" s="49"/>
      <c r="C29" s="69"/>
      <c r="D29" s="54"/>
      <c r="E29" s="54"/>
      <c r="F29" s="74"/>
      <c r="G29" s="57"/>
      <c r="H29" s="57"/>
      <c r="I29" s="61"/>
      <c r="J29" s="66"/>
      <c r="K29" s="66"/>
      <c r="L29" s="30"/>
      <c r="M29" s="30"/>
      <c r="N29" s="12"/>
      <c r="O29" s="12"/>
      <c r="P29" s="12"/>
      <c r="Q29" s="12"/>
      <c r="R29" s="83"/>
      <c r="S29" s="19"/>
      <c r="T29" s="19"/>
      <c r="U29" s="19"/>
      <c r="V29" s="19"/>
      <c r="W29" s="83"/>
      <c r="X29" s="24"/>
      <c r="Y29" s="24"/>
      <c r="Z29" s="24"/>
      <c r="AA29" s="24"/>
      <c r="AB29" s="83"/>
      <c r="AC29" s="30"/>
      <c r="AD29" s="30"/>
      <c r="AE29" s="30"/>
      <c r="AF29" s="83"/>
      <c r="AG29" s="38"/>
      <c r="AH29" s="39"/>
      <c r="AI29" s="38"/>
      <c r="AJ29" s="99"/>
    </row>
    <row r="30" spans="1:36" ht="18.5" x14ac:dyDescent="0.65">
      <c r="A30" s="2"/>
      <c r="B30" s="49"/>
      <c r="C30" s="69"/>
      <c r="D30" s="54"/>
      <c r="E30" s="54"/>
      <c r="F30" s="74"/>
      <c r="G30" s="57"/>
      <c r="H30" s="57"/>
      <c r="I30" s="61"/>
      <c r="J30" s="66"/>
      <c r="K30" s="66"/>
      <c r="L30" s="30"/>
      <c r="M30" s="30"/>
      <c r="N30" s="12"/>
      <c r="O30" s="12"/>
      <c r="P30" s="12"/>
      <c r="Q30" s="12"/>
      <c r="R30" s="83"/>
      <c r="S30" s="19"/>
      <c r="T30" s="19"/>
      <c r="U30" s="19"/>
      <c r="V30" s="19"/>
      <c r="W30" s="83"/>
      <c r="X30" s="24"/>
      <c r="Y30" s="24"/>
      <c r="Z30" s="24"/>
      <c r="AA30" s="24"/>
      <c r="AB30" s="83"/>
      <c r="AC30" s="30"/>
      <c r="AD30" s="30"/>
      <c r="AE30" s="30"/>
      <c r="AF30" s="83"/>
      <c r="AG30" s="38"/>
      <c r="AH30" s="39"/>
      <c r="AI30" s="38"/>
      <c r="AJ30" s="99"/>
    </row>
    <row r="31" spans="1:36" ht="18.5" x14ac:dyDescent="0.65">
      <c r="A31" s="2"/>
      <c r="B31" s="49"/>
      <c r="C31" s="69"/>
      <c r="D31" s="54"/>
      <c r="E31" s="54"/>
      <c r="F31" s="74"/>
      <c r="G31" s="57"/>
      <c r="H31" s="57"/>
      <c r="I31" s="61"/>
      <c r="J31" s="66"/>
      <c r="K31" s="66"/>
      <c r="L31" s="30"/>
      <c r="M31" s="30"/>
      <c r="N31" s="12"/>
      <c r="O31" s="12"/>
      <c r="P31" s="12"/>
      <c r="Q31" s="12"/>
      <c r="R31" s="83"/>
      <c r="S31" s="19"/>
      <c r="T31" s="19"/>
      <c r="U31" s="19"/>
      <c r="V31" s="19"/>
      <c r="W31" s="83"/>
      <c r="X31" s="24"/>
      <c r="Y31" s="24"/>
      <c r="Z31" s="24"/>
      <c r="AA31" s="24"/>
      <c r="AB31" s="83"/>
      <c r="AC31" s="30"/>
      <c r="AD31" s="30"/>
      <c r="AE31" s="30"/>
      <c r="AF31" s="83"/>
      <c r="AG31" s="38"/>
      <c r="AH31" s="39"/>
      <c r="AI31" s="38"/>
      <c r="AJ31" s="99"/>
    </row>
    <row r="32" spans="1:36" ht="18.5" x14ac:dyDescent="0.65">
      <c r="A32" s="2"/>
      <c r="B32" s="49"/>
      <c r="C32" s="69"/>
      <c r="D32" s="54"/>
      <c r="E32" s="54"/>
      <c r="F32" s="74"/>
      <c r="G32" s="57"/>
      <c r="H32" s="57"/>
      <c r="I32" s="61"/>
      <c r="J32" s="66"/>
      <c r="K32" s="66"/>
      <c r="L32" s="30"/>
      <c r="M32" s="30"/>
      <c r="N32" s="12"/>
      <c r="O32" s="12"/>
      <c r="P32" s="12"/>
      <c r="Q32" s="12"/>
      <c r="R32" s="83"/>
      <c r="S32" s="19"/>
      <c r="T32" s="19"/>
      <c r="U32" s="19"/>
      <c r="V32" s="19"/>
      <c r="W32" s="83"/>
      <c r="X32" s="24"/>
      <c r="Y32" s="24"/>
      <c r="Z32" s="24"/>
      <c r="AA32" s="24"/>
      <c r="AB32" s="83"/>
      <c r="AC32" s="30"/>
      <c r="AD32" s="30"/>
      <c r="AE32" s="30"/>
      <c r="AF32" s="83"/>
      <c r="AG32" s="38"/>
      <c r="AH32" s="39"/>
      <c r="AI32" s="38"/>
      <c r="AJ32" s="99"/>
    </row>
    <row r="33" spans="1:36" ht="18.5" x14ac:dyDescent="0.65">
      <c r="A33" s="2"/>
      <c r="B33" s="49"/>
      <c r="C33" s="69"/>
      <c r="D33" s="54"/>
      <c r="E33" s="54"/>
      <c r="F33" s="74"/>
      <c r="G33" s="57"/>
      <c r="H33" s="57"/>
      <c r="I33" s="61"/>
      <c r="J33" s="66"/>
      <c r="K33" s="66"/>
      <c r="L33" s="30"/>
      <c r="M33" s="30"/>
      <c r="N33" s="12"/>
      <c r="O33" s="12"/>
      <c r="P33" s="12"/>
      <c r="Q33" s="12"/>
      <c r="R33" s="83"/>
      <c r="S33" s="19"/>
      <c r="T33" s="19"/>
      <c r="U33" s="19"/>
      <c r="V33" s="19"/>
      <c r="W33" s="83"/>
      <c r="X33" s="24"/>
      <c r="Y33" s="24"/>
      <c r="Z33" s="24"/>
      <c r="AA33" s="24"/>
      <c r="AB33" s="83"/>
      <c r="AC33" s="30"/>
      <c r="AD33" s="30"/>
      <c r="AE33" s="30"/>
      <c r="AF33" s="83"/>
      <c r="AG33" s="38"/>
      <c r="AH33" s="39"/>
      <c r="AI33" s="38"/>
      <c r="AJ33" s="99"/>
    </row>
    <row r="34" spans="1:36" ht="18.5" x14ac:dyDescent="0.65">
      <c r="A34" s="2"/>
      <c r="B34" s="49"/>
      <c r="C34" s="69"/>
      <c r="D34" s="54"/>
      <c r="E34" s="54"/>
      <c r="F34" s="74"/>
      <c r="G34" s="57"/>
      <c r="H34" s="57"/>
      <c r="I34" s="61"/>
      <c r="J34" s="66"/>
      <c r="K34" s="66"/>
      <c r="L34" s="30"/>
      <c r="M34" s="30"/>
      <c r="N34" s="12"/>
      <c r="O34" s="12"/>
      <c r="P34" s="12"/>
      <c r="Q34" s="12"/>
      <c r="R34" s="83"/>
      <c r="S34" s="19"/>
      <c r="T34" s="19"/>
      <c r="U34" s="19"/>
      <c r="V34" s="19"/>
      <c r="W34" s="83"/>
      <c r="X34" s="24"/>
      <c r="Y34" s="24"/>
      <c r="Z34" s="24"/>
      <c r="AA34" s="24"/>
      <c r="AB34" s="83"/>
      <c r="AC34" s="30"/>
      <c r="AD34" s="30"/>
      <c r="AE34" s="30"/>
      <c r="AF34" s="83"/>
      <c r="AG34" s="38"/>
      <c r="AH34" s="39"/>
      <c r="AI34" s="38"/>
      <c r="AJ34" s="99"/>
    </row>
    <row r="35" spans="1:36" ht="18.5" x14ac:dyDescent="0.65">
      <c r="A35" s="2"/>
      <c r="B35" s="49"/>
      <c r="C35" s="69"/>
      <c r="D35" s="54"/>
      <c r="E35" s="54"/>
      <c r="F35" s="74"/>
      <c r="G35" s="57"/>
      <c r="H35" s="57"/>
      <c r="I35" s="61"/>
      <c r="J35" s="66"/>
      <c r="K35" s="66"/>
      <c r="L35" s="30"/>
      <c r="M35" s="30"/>
      <c r="N35" s="12"/>
      <c r="O35" s="12"/>
      <c r="P35" s="12"/>
      <c r="Q35" s="12"/>
      <c r="R35" s="83"/>
      <c r="S35" s="19"/>
      <c r="T35" s="19"/>
      <c r="U35" s="19"/>
      <c r="V35" s="19"/>
      <c r="W35" s="83"/>
      <c r="X35" s="24"/>
      <c r="Y35" s="24"/>
      <c r="Z35" s="24"/>
      <c r="AA35" s="24"/>
      <c r="AB35" s="83"/>
      <c r="AC35" s="30"/>
      <c r="AD35" s="30"/>
      <c r="AE35" s="30"/>
      <c r="AF35" s="83"/>
      <c r="AG35" s="38"/>
      <c r="AH35" s="39"/>
      <c r="AI35" s="38"/>
      <c r="AJ35" s="99"/>
    </row>
    <row r="36" spans="1:36" ht="18.5" x14ac:dyDescent="0.65">
      <c r="A36" s="2"/>
      <c r="B36" s="49"/>
      <c r="C36" s="69"/>
      <c r="D36" s="54"/>
      <c r="E36" s="54"/>
      <c r="F36" s="74"/>
      <c r="G36" s="57"/>
      <c r="H36" s="57"/>
      <c r="I36" s="61"/>
      <c r="J36" s="66"/>
      <c r="K36" s="66"/>
      <c r="L36" s="30"/>
      <c r="M36" s="30"/>
      <c r="N36" s="12"/>
      <c r="O36" s="12"/>
      <c r="P36" s="12"/>
      <c r="Q36" s="12"/>
      <c r="R36" s="83"/>
      <c r="S36" s="19"/>
      <c r="T36" s="19"/>
      <c r="U36" s="19"/>
      <c r="V36" s="19"/>
      <c r="W36" s="83"/>
      <c r="X36" s="24"/>
      <c r="Y36" s="24"/>
      <c r="Z36" s="24"/>
      <c r="AA36" s="24"/>
      <c r="AB36" s="83"/>
      <c r="AC36" s="30"/>
      <c r="AD36" s="30"/>
      <c r="AE36" s="30"/>
      <c r="AF36" s="83"/>
      <c r="AG36" s="38"/>
      <c r="AH36" s="39"/>
      <c r="AI36" s="38"/>
      <c r="AJ36" s="99"/>
    </row>
    <row r="37" spans="1:36" ht="18.5" x14ac:dyDescent="0.65">
      <c r="A37" s="2"/>
      <c r="B37" s="49"/>
      <c r="C37" s="69"/>
      <c r="D37" s="54"/>
      <c r="E37" s="54"/>
      <c r="F37" s="74"/>
      <c r="G37" s="57"/>
      <c r="H37" s="57"/>
      <c r="I37" s="61"/>
      <c r="J37" s="66"/>
      <c r="K37" s="66"/>
      <c r="L37" s="30"/>
      <c r="M37" s="30"/>
      <c r="N37" s="12"/>
      <c r="O37" s="12"/>
      <c r="P37" s="12"/>
      <c r="Q37" s="12"/>
      <c r="R37" s="83"/>
      <c r="S37" s="19"/>
      <c r="T37" s="19"/>
      <c r="U37" s="19"/>
      <c r="V37" s="19"/>
      <c r="W37" s="83"/>
      <c r="X37" s="24"/>
      <c r="Y37" s="24"/>
      <c r="Z37" s="24"/>
      <c r="AA37" s="24"/>
      <c r="AB37" s="83"/>
      <c r="AC37" s="30"/>
      <c r="AD37" s="30"/>
      <c r="AE37" s="30"/>
      <c r="AF37" s="83"/>
      <c r="AG37" s="38"/>
      <c r="AH37" s="39"/>
      <c r="AI37" s="38"/>
      <c r="AJ37" s="99"/>
    </row>
    <row r="38" spans="1:36" ht="18.5" x14ac:dyDescent="0.65">
      <c r="A38" s="2"/>
      <c r="B38" s="49"/>
      <c r="C38" s="69"/>
      <c r="D38" s="54"/>
      <c r="E38" s="54"/>
      <c r="F38" s="74"/>
      <c r="G38" s="57"/>
      <c r="H38" s="57"/>
      <c r="I38" s="61"/>
      <c r="J38" s="66"/>
      <c r="K38" s="66"/>
      <c r="L38" s="30"/>
      <c r="M38" s="30"/>
      <c r="N38" s="12"/>
      <c r="O38" s="12"/>
      <c r="P38" s="12"/>
      <c r="Q38" s="12"/>
      <c r="R38" s="83"/>
      <c r="S38" s="19"/>
      <c r="T38" s="19"/>
      <c r="U38" s="19"/>
      <c r="V38" s="19"/>
      <c r="W38" s="83"/>
      <c r="X38" s="24"/>
      <c r="Y38" s="24"/>
      <c r="Z38" s="24"/>
      <c r="AA38" s="24"/>
      <c r="AB38" s="83"/>
      <c r="AC38" s="30"/>
      <c r="AD38" s="30"/>
      <c r="AE38" s="30"/>
      <c r="AF38" s="83"/>
      <c r="AG38" s="38"/>
      <c r="AH38" s="39"/>
      <c r="AI38" s="38"/>
      <c r="AJ38" s="99"/>
    </row>
    <row r="39" spans="1:36" ht="18.5" x14ac:dyDescent="0.65">
      <c r="A39" s="2"/>
      <c r="B39" s="49"/>
      <c r="C39" s="69"/>
      <c r="D39" s="54"/>
      <c r="E39" s="54"/>
      <c r="F39" s="74"/>
      <c r="G39" s="57"/>
      <c r="H39" s="57"/>
      <c r="I39" s="61"/>
      <c r="J39" s="66"/>
      <c r="K39" s="66"/>
      <c r="L39" s="30"/>
      <c r="M39" s="30"/>
      <c r="N39" s="12"/>
      <c r="O39" s="12"/>
      <c r="P39" s="12"/>
      <c r="Q39" s="12"/>
      <c r="R39" s="83"/>
      <c r="S39" s="19"/>
      <c r="T39" s="19"/>
      <c r="U39" s="19"/>
      <c r="V39" s="19"/>
      <c r="W39" s="83"/>
      <c r="X39" s="24"/>
      <c r="Y39" s="24"/>
      <c r="Z39" s="24"/>
      <c r="AA39" s="24"/>
      <c r="AB39" s="83"/>
      <c r="AC39" s="30"/>
      <c r="AD39" s="30"/>
      <c r="AE39" s="30"/>
      <c r="AF39" s="83"/>
      <c r="AG39" s="38"/>
      <c r="AH39" s="39"/>
      <c r="AI39" s="38"/>
      <c r="AJ39" s="99"/>
    </row>
    <row r="40" spans="1:36" ht="18.5" x14ac:dyDescent="0.65">
      <c r="A40" s="2"/>
      <c r="B40" s="49"/>
      <c r="C40" s="69"/>
      <c r="D40" s="54"/>
      <c r="E40" s="54"/>
      <c r="F40" s="74"/>
      <c r="G40" s="57"/>
      <c r="H40" s="57"/>
      <c r="I40" s="61"/>
      <c r="J40" s="66"/>
      <c r="K40" s="66"/>
      <c r="L40" s="30"/>
      <c r="M40" s="30"/>
      <c r="N40" s="12"/>
      <c r="O40" s="12"/>
      <c r="P40" s="12"/>
      <c r="Q40" s="12"/>
      <c r="R40" s="83"/>
      <c r="S40" s="19"/>
      <c r="T40" s="19"/>
      <c r="U40" s="19"/>
      <c r="V40" s="19"/>
      <c r="W40" s="83"/>
      <c r="X40" s="24"/>
      <c r="Y40" s="24"/>
      <c r="Z40" s="24"/>
      <c r="AA40" s="24"/>
      <c r="AB40" s="83"/>
      <c r="AC40" s="30"/>
      <c r="AD40" s="30"/>
      <c r="AE40" s="30"/>
      <c r="AF40" s="83"/>
      <c r="AG40" s="38"/>
      <c r="AH40" s="39"/>
      <c r="AI40" s="38"/>
      <c r="AJ40" s="99"/>
    </row>
    <row r="41" spans="1:36" ht="18.5" x14ac:dyDescent="0.65">
      <c r="A41" s="2"/>
      <c r="B41" s="50"/>
      <c r="C41" s="70"/>
      <c r="D41" s="55"/>
      <c r="E41" s="55"/>
      <c r="F41" s="75"/>
      <c r="G41" s="58"/>
      <c r="H41" s="58"/>
      <c r="I41" s="62"/>
      <c r="AH41" s="39"/>
      <c r="AI41" s="38"/>
      <c r="AJ41" s="99"/>
    </row>
    <row r="42" spans="1:36" ht="18.5" x14ac:dyDescent="0.65">
      <c r="A42" s="2"/>
      <c r="B42" s="50"/>
      <c r="C42" s="70"/>
      <c r="D42" s="55"/>
      <c r="E42" s="55"/>
      <c r="F42" s="75"/>
      <c r="G42" s="58"/>
      <c r="H42" s="58"/>
      <c r="I42" s="62"/>
      <c r="AH42" s="39"/>
      <c r="AI42" s="38"/>
      <c r="AJ42" s="99"/>
    </row>
    <row r="43" spans="1:36" ht="18.5" x14ac:dyDescent="0.65">
      <c r="A43" s="2"/>
      <c r="B43" s="50"/>
      <c r="C43" s="70"/>
      <c r="D43" s="55"/>
      <c r="E43" s="55"/>
      <c r="F43" s="75"/>
      <c r="G43" s="58"/>
      <c r="H43" s="58"/>
      <c r="I43" s="62"/>
      <c r="AH43" s="39"/>
      <c r="AI43" s="38"/>
      <c r="AJ43" s="99"/>
    </row>
    <row r="44" spans="1:36" ht="18.5" x14ac:dyDescent="0.65">
      <c r="A44" s="2"/>
      <c r="B44" s="50"/>
      <c r="C44" s="70"/>
      <c r="D44" s="55"/>
      <c r="E44" s="55"/>
      <c r="F44" s="75"/>
      <c r="G44" s="58"/>
      <c r="H44" s="58"/>
      <c r="I44" s="62"/>
      <c r="AH44" s="39"/>
      <c r="AI44" s="38"/>
      <c r="AJ44" s="99"/>
    </row>
    <row r="45" spans="1:36" ht="18.5" x14ac:dyDescent="0.65">
      <c r="A45" s="2"/>
      <c r="B45" s="50"/>
      <c r="C45" s="70"/>
      <c r="D45" s="55"/>
      <c r="E45" s="55"/>
      <c r="F45" s="75"/>
      <c r="G45" s="58"/>
      <c r="H45" s="58"/>
      <c r="I45" s="62"/>
      <c r="AH45" s="39"/>
      <c r="AI45" s="38"/>
      <c r="AJ45" s="99"/>
    </row>
    <row r="46" spans="1:36" ht="18.5" x14ac:dyDescent="0.65">
      <c r="A46" s="2"/>
      <c r="B46" s="50"/>
      <c r="C46" s="70"/>
      <c r="D46" s="55"/>
      <c r="E46" s="55"/>
      <c r="F46" s="75"/>
      <c r="G46" s="58"/>
      <c r="H46" s="58"/>
      <c r="I46" s="62"/>
      <c r="AH46" s="39"/>
      <c r="AI46" s="38"/>
      <c r="AJ46" s="99"/>
    </row>
    <row r="47" spans="1:36" ht="18.5" x14ac:dyDescent="0.65">
      <c r="A47" s="2"/>
      <c r="B47" s="50"/>
      <c r="C47" s="70"/>
      <c r="D47" s="55"/>
      <c r="E47" s="55"/>
      <c r="F47" s="75"/>
      <c r="G47" s="58"/>
      <c r="H47" s="58"/>
      <c r="I47" s="62"/>
      <c r="AH47" s="39"/>
      <c r="AI47" s="38"/>
      <c r="AJ47" s="99"/>
    </row>
    <row r="48" spans="1:36" ht="18.5" x14ac:dyDescent="0.65">
      <c r="A48" s="2"/>
      <c r="B48" s="50"/>
      <c r="C48" s="70"/>
      <c r="D48" s="55"/>
      <c r="E48" s="55"/>
      <c r="F48" s="75"/>
      <c r="G48" s="58"/>
      <c r="H48" s="58"/>
      <c r="I48" s="62"/>
      <c r="AH48" s="39"/>
      <c r="AI48" s="38"/>
      <c r="AJ48" s="99"/>
    </row>
    <row r="49" spans="1:36" ht="18.5" x14ac:dyDescent="0.65">
      <c r="A49" s="2"/>
      <c r="B49" s="50"/>
      <c r="C49" s="70"/>
      <c r="D49" s="55"/>
      <c r="E49" s="55"/>
      <c r="F49" s="75"/>
      <c r="G49" s="58"/>
      <c r="H49" s="58"/>
      <c r="I49" s="62"/>
      <c r="AH49" s="39"/>
      <c r="AI49" s="38"/>
      <c r="AJ49" s="99"/>
    </row>
    <row r="50" spans="1:36" ht="18.5" x14ac:dyDescent="0.65">
      <c r="A50" s="2"/>
      <c r="B50" s="50"/>
      <c r="C50" s="70"/>
      <c r="D50" s="55"/>
      <c r="E50" s="55"/>
      <c r="F50" s="75"/>
      <c r="G50" s="58"/>
      <c r="H50" s="58"/>
      <c r="I50" s="62"/>
      <c r="AH50" s="39"/>
      <c r="AI50" s="38"/>
      <c r="AJ50" s="99"/>
    </row>
    <row r="51" spans="1:36" ht="18.5" x14ac:dyDescent="0.65">
      <c r="A51" s="2"/>
      <c r="B51" s="50"/>
      <c r="C51" s="70"/>
      <c r="D51" s="55"/>
      <c r="E51" s="55"/>
      <c r="F51" s="75"/>
      <c r="G51" s="58"/>
      <c r="H51" s="58"/>
      <c r="I51" s="62"/>
      <c r="AH51" s="39"/>
      <c r="AI51" s="38"/>
      <c r="AJ51" s="99"/>
    </row>
    <row r="52" spans="1:36" ht="18.5" x14ac:dyDescent="0.65">
      <c r="A52" s="2"/>
      <c r="B52" s="50"/>
      <c r="C52" s="70"/>
      <c r="D52" s="55"/>
      <c r="E52" s="55"/>
      <c r="F52" s="75"/>
      <c r="G52" s="58"/>
      <c r="H52" s="58"/>
      <c r="I52" s="62"/>
      <c r="AH52" s="39"/>
      <c r="AI52" s="38"/>
      <c r="AJ52" s="99"/>
    </row>
    <row r="53" spans="1:36" ht="18.5" x14ac:dyDescent="0.65">
      <c r="A53" s="2"/>
      <c r="B53" s="50"/>
      <c r="C53" s="70"/>
      <c r="D53" s="55"/>
      <c r="E53" s="55"/>
      <c r="F53" s="75"/>
      <c r="G53" s="58"/>
      <c r="H53" s="58"/>
      <c r="I53" s="62"/>
      <c r="AH53" s="39"/>
      <c r="AI53" s="38"/>
      <c r="AJ53" s="99"/>
    </row>
    <row r="54" spans="1:36" ht="18.5" x14ac:dyDescent="0.65">
      <c r="A54" s="2"/>
      <c r="B54" s="50"/>
      <c r="C54" s="70"/>
      <c r="D54" s="55"/>
      <c r="E54" s="55"/>
      <c r="F54" s="75"/>
      <c r="G54" s="58"/>
      <c r="H54" s="58"/>
      <c r="I54" s="62"/>
      <c r="AH54" s="39"/>
      <c r="AI54" s="38"/>
      <c r="AJ54" s="99"/>
    </row>
    <row r="55" spans="1:36" ht="18.5" x14ac:dyDescent="0.65">
      <c r="A55" s="2"/>
      <c r="B55" s="50"/>
      <c r="C55" s="70"/>
      <c r="D55" s="55"/>
      <c r="E55" s="55"/>
      <c r="F55" s="75"/>
      <c r="G55" s="58"/>
      <c r="H55" s="58"/>
      <c r="I55" s="62"/>
      <c r="AH55" s="39"/>
      <c r="AI55" s="38"/>
      <c r="AJ55" s="99"/>
    </row>
    <row r="56" spans="1:36" ht="18.5" x14ac:dyDescent="0.65">
      <c r="A56" s="2"/>
      <c r="B56" s="50"/>
      <c r="C56" s="70"/>
      <c r="D56" s="55"/>
      <c r="E56" s="55"/>
      <c r="F56" s="75"/>
      <c r="G56" s="58"/>
      <c r="H56" s="58"/>
      <c r="I56" s="62"/>
      <c r="AH56" s="39"/>
      <c r="AI56" s="38"/>
      <c r="AJ56" s="99"/>
    </row>
    <row r="57" spans="1:36" ht="18.5" x14ac:dyDescent="0.65">
      <c r="A57" s="2"/>
      <c r="B57" s="50"/>
      <c r="C57" s="70"/>
      <c r="D57" s="55"/>
      <c r="E57" s="55"/>
      <c r="F57" s="75"/>
      <c r="G57" s="58"/>
      <c r="H57" s="58"/>
      <c r="I57" s="62"/>
      <c r="AH57" s="39"/>
      <c r="AI57" s="38"/>
      <c r="AJ57" s="99"/>
    </row>
    <row r="58" spans="1:36" ht="18.5" x14ac:dyDescent="0.65">
      <c r="A58" s="2"/>
      <c r="B58" s="50"/>
      <c r="C58" s="70"/>
      <c r="D58" s="55"/>
      <c r="E58" s="55"/>
      <c r="F58" s="75"/>
      <c r="G58" s="58"/>
      <c r="H58" s="58"/>
      <c r="I58" s="62"/>
      <c r="AH58" s="39"/>
      <c r="AI58" s="38"/>
      <c r="AJ58" s="99"/>
    </row>
    <row r="59" spans="1:36" ht="18.5" x14ac:dyDescent="0.65">
      <c r="A59" s="2"/>
      <c r="B59" s="50"/>
      <c r="C59" s="70"/>
      <c r="D59" s="55"/>
      <c r="E59" s="55"/>
      <c r="F59" s="75"/>
      <c r="G59" s="58"/>
      <c r="H59" s="58"/>
      <c r="I59" s="62"/>
      <c r="AH59" s="39"/>
      <c r="AI59" s="38"/>
      <c r="AJ59" s="99"/>
    </row>
    <row r="60" spans="1:36" ht="18.5" x14ac:dyDescent="0.65">
      <c r="A60" s="2"/>
      <c r="B60" s="50"/>
      <c r="C60" s="70"/>
      <c r="D60" s="55"/>
      <c r="E60" s="55"/>
      <c r="F60" s="75"/>
      <c r="G60" s="58"/>
      <c r="H60" s="58"/>
      <c r="I60" s="62"/>
      <c r="AH60" s="39"/>
      <c r="AI60" s="38"/>
      <c r="AJ60" s="99"/>
    </row>
    <row r="61" spans="1:36" ht="18.5" x14ac:dyDescent="0.65">
      <c r="A61" s="2"/>
      <c r="B61" s="50"/>
      <c r="C61" s="70"/>
      <c r="D61" s="55"/>
      <c r="E61" s="55"/>
      <c r="F61" s="75"/>
      <c r="G61" s="58"/>
      <c r="H61" s="58"/>
      <c r="I61" s="62"/>
      <c r="AH61" s="39"/>
      <c r="AI61" s="38"/>
      <c r="AJ61" s="99"/>
    </row>
    <row r="62" spans="1:36" ht="18.5" x14ac:dyDescent="0.65">
      <c r="A62" s="2"/>
      <c r="B62" s="50"/>
      <c r="C62" s="70"/>
      <c r="D62" s="55"/>
      <c r="E62" s="55"/>
      <c r="F62" s="75"/>
      <c r="G62" s="58"/>
      <c r="H62" s="58"/>
      <c r="I62" s="62"/>
      <c r="AH62" s="39"/>
      <c r="AI62" s="38"/>
      <c r="AJ62" s="99"/>
    </row>
    <row r="63" spans="1:36" ht="18.5" x14ac:dyDescent="0.65">
      <c r="A63" s="2"/>
      <c r="B63" s="50"/>
      <c r="C63" s="70"/>
      <c r="D63" s="55"/>
      <c r="E63" s="55"/>
      <c r="F63" s="75"/>
      <c r="G63" s="58"/>
      <c r="H63" s="58"/>
      <c r="I63" s="62"/>
      <c r="AH63" s="39"/>
      <c r="AI63" s="38"/>
      <c r="AJ63" s="99"/>
    </row>
    <row r="64" spans="1:36" ht="18.5" x14ac:dyDescent="0.65">
      <c r="A64" s="2"/>
      <c r="B64" s="50"/>
      <c r="C64" s="70"/>
      <c r="D64" s="55"/>
      <c r="E64" s="55"/>
      <c r="F64" s="75"/>
      <c r="G64" s="58"/>
      <c r="H64" s="58"/>
      <c r="I64" s="62"/>
      <c r="AH64" s="39"/>
      <c r="AI64" s="38"/>
      <c r="AJ64" s="99"/>
    </row>
    <row r="65" spans="1:36" ht="18.5" x14ac:dyDescent="0.65">
      <c r="A65" s="2"/>
      <c r="B65" s="50"/>
      <c r="C65" s="70"/>
      <c r="D65" s="55"/>
      <c r="E65" s="55"/>
      <c r="F65" s="75"/>
      <c r="G65" s="58"/>
      <c r="H65" s="58"/>
      <c r="I65" s="62"/>
      <c r="AH65" s="39"/>
      <c r="AI65" s="38"/>
      <c r="AJ65" s="99"/>
    </row>
    <row r="66" spans="1:36" ht="18.5" x14ac:dyDescent="0.65">
      <c r="A66" s="2"/>
      <c r="B66" s="50"/>
      <c r="C66" s="70"/>
      <c r="D66" s="55"/>
      <c r="E66" s="55"/>
      <c r="F66" s="75"/>
      <c r="G66" s="58"/>
      <c r="H66" s="58"/>
      <c r="I66" s="62"/>
      <c r="AH66" s="39"/>
      <c r="AI66" s="38"/>
      <c r="AJ66" s="99"/>
    </row>
    <row r="67" spans="1:36" ht="18.5" x14ac:dyDescent="0.65">
      <c r="A67" s="2"/>
      <c r="B67" s="50"/>
      <c r="C67" s="70"/>
      <c r="D67" s="55"/>
      <c r="E67" s="55"/>
      <c r="F67" s="75"/>
      <c r="G67" s="58"/>
      <c r="H67" s="58"/>
      <c r="I67" s="62"/>
      <c r="AH67" s="39"/>
      <c r="AI67" s="38"/>
      <c r="AJ67" s="99"/>
    </row>
    <row r="68" spans="1:36" ht="18.5" x14ac:dyDescent="0.65">
      <c r="A68" s="2"/>
      <c r="B68" s="50"/>
      <c r="C68" s="70"/>
      <c r="D68" s="55"/>
      <c r="E68" s="55"/>
      <c r="F68" s="75"/>
      <c r="G68" s="58"/>
      <c r="H68" s="58"/>
      <c r="I68" s="62"/>
      <c r="AH68" s="39"/>
      <c r="AI68" s="38"/>
      <c r="AJ68" s="99"/>
    </row>
    <row r="69" spans="1:36" ht="18.5" x14ac:dyDescent="0.65">
      <c r="A69" s="2"/>
      <c r="B69" s="50"/>
      <c r="C69" s="70"/>
      <c r="D69" s="55"/>
      <c r="E69" s="55"/>
      <c r="F69" s="75"/>
      <c r="G69" s="58"/>
      <c r="H69" s="58"/>
      <c r="I69" s="62"/>
      <c r="AH69" s="39"/>
      <c r="AI69" s="38"/>
      <c r="AJ69" s="99"/>
    </row>
    <row r="70" spans="1:36" ht="18.5" x14ac:dyDescent="0.65">
      <c r="A70" s="2"/>
      <c r="B70" s="50"/>
      <c r="C70" s="70"/>
      <c r="D70" s="55"/>
      <c r="E70" s="55"/>
      <c r="F70" s="75"/>
      <c r="G70" s="58"/>
      <c r="H70" s="58"/>
      <c r="I70" s="62"/>
      <c r="AH70" s="39"/>
      <c r="AI70" s="38"/>
      <c r="AJ70" s="99"/>
    </row>
    <row r="71" spans="1:36" ht="18.5" x14ac:dyDescent="0.65">
      <c r="A71" s="2"/>
      <c r="B71" s="50"/>
      <c r="C71" s="70"/>
      <c r="D71" s="55"/>
      <c r="E71" s="55"/>
      <c r="F71" s="75"/>
      <c r="G71" s="58"/>
      <c r="H71" s="58"/>
      <c r="I71" s="62"/>
      <c r="AH71" s="39"/>
      <c r="AI71" s="38"/>
      <c r="AJ71" s="99"/>
    </row>
    <row r="72" spans="1:36" ht="18.5" x14ac:dyDescent="0.65">
      <c r="A72" s="2"/>
      <c r="B72" s="50"/>
      <c r="C72" s="70"/>
      <c r="D72" s="55"/>
      <c r="E72" s="55"/>
      <c r="F72" s="75"/>
      <c r="G72" s="58"/>
      <c r="H72" s="58"/>
      <c r="I72" s="62"/>
      <c r="AH72" s="39"/>
      <c r="AI72" s="38"/>
      <c r="AJ72" s="99"/>
    </row>
    <row r="73" spans="1:36" ht="18.5" x14ac:dyDescent="0.65">
      <c r="A73" s="2"/>
      <c r="B73" s="50"/>
      <c r="C73" s="70"/>
      <c r="D73" s="55"/>
      <c r="E73" s="55"/>
      <c r="F73" s="75"/>
      <c r="G73" s="58"/>
      <c r="H73" s="58"/>
      <c r="I73" s="62"/>
      <c r="AH73" s="39"/>
      <c r="AI73" s="38"/>
      <c r="AJ73" s="99"/>
    </row>
    <row r="74" spans="1:36" ht="18.5" x14ac:dyDescent="0.65">
      <c r="A74" s="2"/>
      <c r="B74" s="50"/>
      <c r="C74" s="70"/>
      <c r="D74" s="55"/>
      <c r="E74" s="55"/>
      <c r="F74" s="75"/>
      <c r="G74" s="58"/>
      <c r="H74" s="58"/>
      <c r="I74" s="62"/>
      <c r="AH74" s="39"/>
      <c r="AI74" s="38"/>
      <c r="AJ74" s="99"/>
    </row>
    <row r="75" spans="1:36" ht="18.5" x14ac:dyDescent="0.65">
      <c r="A75" s="2"/>
      <c r="B75" s="50"/>
      <c r="C75" s="70"/>
      <c r="D75" s="55"/>
      <c r="E75" s="55"/>
      <c r="F75" s="75"/>
      <c r="G75" s="58"/>
      <c r="H75" s="58"/>
      <c r="I75" s="62"/>
      <c r="AH75" s="39"/>
      <c r="AI75" s="38"/>
      <c r="AJ75" s="99"/>
    </row>
    <row r="76" spans="1:36" ht="18.5" x14ac:dyDescent="0.65">
      <c r="A76" s="2"/>
      <c r="B76" s="50"/>
      <c r="C76" s="70"/>
      <c r="D76" s="55"/>
      <c r="E76" s="55"/>
      <c r="F76" s="75"/>
      <c r="G76" s="58"/>
      <c r="H76" s="58"/>
      <c r="I76" s="62"/>
      <c r="AH76" s="39"/>
      <c r="AI76" s="38"/>
      <c r="AJ76" s="99"/>
    </row>
    <row r="77" spans="1:36" ht="18.5" x14ac:dyDescent="0.65">
      <c r="A77" s="2"/>
      <c r="B77" s="50"/>
      <c r="C77" s="70"/>
      <c r="D77" s="55"/>
      <c r="E77" s="55"/>
      <c r="F77" s="75"/>
      <c r="G77" s="58"/>
      <c r="H77" s="58"/>
      <c r="I77" s="62"/>
      <c r="AH77" s="39"/>
      <c r="AI77" s="38"/>
      <c r="AJ77" s="99"/>
    </row>
    <row r="78" spans="1:36" ht="18.5" x14ac:dyDescent="0.65">
      <c r="A78" s="2"/>
      <c r="B78" s="50"/>
      <c r="C78" s="70"/>
      <c r="D78" s="55"/>
      <c r="E78" s="55"/>
      <c r="F78" s="75"/>
      <c r="G78" s="58"/>
      <c r="H78" s="58"/>
      <c r="I78" s="62"/>
      <c r="AH78" s="39"/>
      <c r="AI78" s="38"/>
      <c r="AJ78" s="99"/>
    </row>
    <row r="79" spans="1:36" ht="18.5" x14ac:dyDescent="0.65">
      <c r="A79" s="2"/>
      <c r="B79" s="50"/>
      <c r="C79" s="70"/>
      <c r="D79" s="55"/>
      <c r="E79" s="55"/>
      <c r="F79" s="75"/>
      <c r="G79" s="58"/>
      <c r="H79" s="58"/>
      <c r="I79" s="62"/>
      <c r="AH79" s="39"/>
      <c r="AI79" s="38"/>
      <c r="AJ79" s="99"/>
    </row>
    <row r="80" spans="1:36" ht="18.5" x14ac:dyDescent="0.65">
      <c r="A80" s="2"/>
      <c r="B80" s="50"/>
      <c r="C80" s="70"/>
      <c r="D80" s="55"/>
      <c r="E80" s="55"/>
      <c r="F80" s="75"/>
      <c r="G80" s="58"/>
      <c r="H80" s="58"/>
      <c r="I80" s="62"/>
      <c r="AH80" s="39"/>
      <c r="AI80" s="38"/>
      <c r="AJ80" s="99"/>
    </row>
    <row r="81" spans="1:36" ht="18.5" x14ac:dyDescent="0.65">
      <c r="A81" s="2"/>
      <c r="B81" s="50"/>
      <c r="C81" s="70"/>
      <c r="D81" s="55"/>
      <c r="E81" s="55"/>
      <c r="F81" s="75"/>
      <c r="G81" s="58"/>
      <c r="H81" s="58"/>
      <c r="I81" s="62"/>
      <c r="AH81" s="39"/>
      <c r="AI81" s="38"/>
      <c r="AJ81" s="99"/>
    </row>
    <row r="82" spans="1:36" ht="18.5" x14ac:dyDescent="0.65">
      <c r="A82" s="2"/>
      <c r="B82" s="50"/>
      <c r="C82" s="70"/>
      <c r="D82" s="55"/>
      <c r="E82" s="55"/>
      <c r="F82" s="75"/>
      <c r="G82" s="58"/>
      <c r="H82" s="58"/>
      <c r="I82" s="62"/>
      <c r="AH82" s="39"/>
      <c r="AI82" s="38"/>
      <c r="AJ82" s="99"/>
    </row>
    <row r="83" spans="1:36" ht="18.5" x14ac:dyDescent="0.65">
      <c r="A83" s="2"/>
      <c r="B83" s="50"/>
      <c r="C83" s="70"/>
      <c r="D83" s="55"/>
      <c r="E83" s="55"/>
      <c r="F83" s="75"/>
      <c r="G83" s="58"/>
      <c r="H83" s="58"/>
      <c r="I83" s="62"/>
      <c r="AH83" s="39"/>
      <c r="AI83" s="38"/>
      <c r="AJ83" s="99"/>
    </row>
    <row r="84" spans="1:36" ht="18.5" x14ac:dyDescent="0.65">
      <c r="A84" s="2"/>
      <c r="B84" s="50"/>
      <c r="C84" s="70"/>
      <c r="D84" s="55"/>
      <c r="E84" s="55"/>
      <c r="F84" s="75"/>
      <c r="G84" s="58"/>
      <c r="H84" s="58"/>
      <c r="I84" s="62"/>
      <c r="AH84" s="39"/>
      <c r="AI84" s="38"/>
      <c r="AJ84" s="99"/>
    </row>
    <row r="85" spans="1:36" ht="18.5" x14ac:dyDescent="0.65">
      <c r="A85" s="2"/>
      <c r="B85" s="50"/>
      <c r="C85" s="70"/>
      <c r="D85" s="55"/>
      <c r="E85" s="55"/>
      <c r="F85" s="75"/>
      <c r="G85" s="58"/>
      <c r="H85" s="58"/>
      <c r="I85" s="62"/>
      <c r="AH85" s="39"/>
      <c r="AI85" s="38"/>
      <c r="AJ85" s="99"/>
    </row>
    <row r="86" spans="1:36" ht="18.5" x14ac:dyDescent="0.65">
      <c r="A86" s="2"/>
      <c r="B86" s="50"/>
      <c r="C86" s="70"/>
      <c r="D86" s="55"/>
      <c r="E86" s="55"/>
      <c r="F86" s="75"/>
      <c r="G86" s="58"/>
      <c r="H86" s="58"/>
      <c r="I86" s="62"/>
      <c r="AH86" s="39"/>
      <c r="AI86" s="38"/>
      <c r="AJ86" s="99"/>
    </row>
    <row r="87" spans="1:36" ht="18.5" x14ac:dyDescent="0.65">
      <c r="A87" s="2"/>
      <c r="B87" s="50"/>
      <c r="C87" s="70"/>
      <c r="D87" s="55"/>
      <c r="E87" s="55"/>
      <c r="F87" s="75"/>
      <c r="G87" s="58"/>
      <c r="H87" s="58"/>
      <c r="I87" s="62"/>
      <c r="AH87" s="39"/>
      <c r="AI87" s="38"/>
      <c r="AJ87" s="99"/>
    </row>
    <row r="88" spans="1:36" ht="18.5" x14ac:dyDescent="0.65">
      <c r="A88" s="2"/>
      <c r="B88" s="50"/>
      <c r="C88" s="70"/>
      <c r="D88" s="55"/>
      <c r="E88" s="55"/>
      <c r="F88" s="75"/>
      <c r="G88" s="58"/>
      <c r="H88" s="58"/>
      <c r="I88" s="62"/>
      <c r="AH88" s="39"/>
      <c r="AI88" s="38"/>
      <c r="AJ88" s="99"/>
    </row>
    <row r="89" spans="1:36" ht="18.5" x14ac:dyDescent="0.65">
      <c r="A89" s="2"/>
      <c r="B89" s="50"/>
      <c r="C89" s="70"/>
      <c r="D89" s="55"/>
      <c r="E89" s="55"/>
      <c r="F89" s="75"/>
      <c r="G89" s="58"/>
      <c r="H89" s="58"/>
      <c r="I89" s="62"/>
      <c r="AH89" s="39"/>
      <c r="AI89" s="38"/>
      <c r="AJ89" s="99"/>
    </row>
    <row r="90" spans="1:36" ht="18.5" x14ac:dyDescent="0.65">
      <c r="A90" s="2"/>
      <c r="B90" s="50"/>
      <c r="C90" s="70"/>
      <c r="D90" s="55"/>
      <c r="E90" s="55"/>
      <c r="F90" s="75"/>
      <c r="G90" s="58"/>
      <c r="H90" s="58"/>
      <c r="I90" s="62"/>
      <c r="AH90" s="39"/>
      <c r="AI90" s="38"/>
      <c r="AJ90" s="99"/>
    </row>
    <row r="91" spans="1:36" ht="17" x14ac:dyDescent="0.6">
      <c r="A91" s="2"/>
      <c r="B91" s="50"/>
      <c r="C91" s="70"/>
      <c r="D91" s="55"/>
      <c r="E91" s="55"/>
      <c r="F91" s="75"/>
      <c r="G91" s="58"/>
      <c r="H91" s="58"/>
      <c r="I91" s="62"/>
      <c r="AH91" s="40"/>
    </row>
    <row r="92" spans="1:36" ht="17" x14ac:dyDescent="0.6">
      <c r="A92" s="2"/>
      <c r="B92" s="50"/>
      <c r="C92" s="70"/>
      <c r="D92" s="55"/>
      <c r="E92" s="55"/>
      <c r="F92" s="75"/>
      <c r="G92" s="58"/>
      <c r="H92" s="58"/>
      <c r="I92" s="62"/>
      <c r="AH92" s="40"/>
    </row>
    <row r="93" spans="1:36" x14ac:dyDescent="0.35">
      <c r="A93" s="2"/>
      <c r="B93" s="50"/>
      <c r="C93" s="70"/>
      <c r="D93" s="55"/>
      <c r="E93" s="55"/>
      <c r="F93" s="75"/>
      <c r="G93" s="58"/>
      <c r="H93" s="58"/>
      <c r="I93" s="62"/>
    </row>
    <row r="94" spans="1:36" x14ac:dyDescent="0.35">
      <c r="A94" s="2"/>
      <c r="B94" s="50"/>
      <c r="C94" s="70"/>
      <c r="D94" s="55"/>
      <c r="E94" s="55"/>
      <c r="F94" s="75"/>
      <c r="G94" s="58"/>
      <c r="H94" s="58"/>
      <c r="I94" s="62"/>
    </row>
    <row r="95" spans="1:36" x14ac:dyDescent="0.35">
      <c r="A95" s="2"/>
      <c r="B95" s="50"/>
      <c r="C95" s="70"/>
      <c r="D95" s="55"/>
      <c r="E95" s="55"/>
      <c r="F95" s="75"/>
      <c r="G95" s="58"/>
      <c r="H95" s="58"/>
      <c r="I95" s="62"/>
    </row>
    <row r="96" spans="1:36" x14ac:dyDescent="0.35">
      <c r="A96" s="2"/>
      <c r="B96" s="50"/>
      <c r="C96" s="70"/>
      <c r="D96" s="55"/>
      <c r="E96" s="55"/>
      <c r="F96" s="75"/>
      <c r="G96" s="58"/>
      <c r="H96" s="58"/>
      <c r="I96" s="6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6</vt:i4>
      </vt:variant>
    </vt:vector>
  </HeadingPairs>
  <TitlesOfParts>
    <vt:vector size="13" baseType="lpstr">
      <vt:lpstr>2562</vt:lpstr>
      <vt:lpstr>2563</vt:lpstr>
      <vt:lpstr>2564</vt:lpstr>
      <vt:lpstr>2565</vt:lpstr>
      <vt:lpstr>2566</vt:lpstr>
      <vt:lpstr>2567</vt:lpstr>
      <vt:lpstr>2568</vt:lpstr>
      <vt:lpstr>'2563'!Print_Area</vt:lpstr>
      <vt:lpstr>'2564'!Print_Area</vt:lpstr>
      <vt:lpstr>'2565'!Print_Area</vt:lpstr>
      <vt:lpstr>'2566'!Print_Area</vt:lpstr>
      <vt:lpstr>'2567'!Print_Area</vt:lpstr>
      <vt:lpstr>'2568'!Print_Area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รุ่งทิพย์ มานะกิจ</dc:creator>
  <cp:lastModifiedBy>รุ่งทิพย์ มานะกิจ</cp:lastModifiedBy>
  <dcterms:created xsi:type="dcterms:W3CDTF">2026-08-01T11:35:55Z</dcterms:created>
  <dcterms:modified xsi:type="dcterms:W3CDTF">2026-08-02T11:02:36Z</dcterms:modified>
</cp:coreProperties>
</file>